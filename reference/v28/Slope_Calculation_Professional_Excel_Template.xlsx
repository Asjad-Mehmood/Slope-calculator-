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te" sheetId="1" state="visible" r:id="rId1"/>
    <sheet xmlns:r="http://schemas.openxmlformats.org/officeDocument/2006/relationships" name="Slope Summary" sheetId="2" state="visible" r:id="rId2"/>
    <sheet xmlns:r="http://schemas.openxmlformats.org/officeDocument/2006/relationships" name="Chainage Levels" sheetId="3" state="visible" r:id="rId3"/>
    <sheet xmlns:r="http://schemas.openxmlformats.org/officeDocument/2006/relationships" name="Crossfall" sheetId="4" state="visible" r:id="rId4"/>
    <sheet xmlns:r="http://schemas.openxmlformats.org/officeDocument/2006/relationships" name="QA QC Checklist" sheetId="5" state="visible" r:id="rId5"/>
  </sheets>
  <definedNames>
    <definedName name="_xlnm._FilterDatabase" localSheetId="0" hidden="1">'Project Plate'!$A$2:$B$20</definedName>
    <definedName name="_xlnm._FilterDatabase" localSheetId="2" hidden="1">'Chainage Levels'!$A$2:$E$27</definedName>
    <definedName name="_xlnm._FilterDatabase" localSheetId="4" hidden="1">'QA QC Checklist'!$A$2:$C$13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102653"/>
      <sz val="10"/>
    </font>
    <font>
      <name val="Aptos"/>
      <color rgb="0024324A"/>
      <sz val="10"/>
    </font>
  </fonts>
  <fills count="6">
    <fill>
      <patternFill/>
    </fill>
    <fill>
      <patternFill patternType="gray125"/>
    </fill>
    <fill>
      <patternFill patternType="solid">
        <fgColor rgb="00102653"/>
      </patternFill>
    </fill>
    <fill>
      <patternFill patternType="solid">
        <fgColor rgb="00F6D782"/>
      </patternFill>
    </fill>
    <fill>
      <patternFill patternType="solid">
        <fgColor rgb="00F3F6FB"/>
      </patternFill>
    </fill>
    <fill>
      <patternFill patternType="solid">
        <fgColor rgb="00FFF9EA"/>
      </patternFill>
    </fill>
  </fills>
  <borders count="3">
    <border>
      <left/>
      <right/>
      <top/>
      <bottom/>
      <diagonal/>
    </border>
    <border>
      <bottom style="thin">
        <color rgb="00D4B14F"/>
      </bottom>
    </border>
    <border>
      <bottom style="thin">
        <color rgb="00DC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5" fontId="3" fillId="0" borderId="2" applyAlignment="1" pivotButton="0" quotePrefix="0" xfId="0">
      <alignment vertical="center" wrapText="1"/>
    </xf>
    <xf numFmtId="49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0" customHeight="1">
      <c r="A1" s="1" t="inlineStr">
        <is>
          <t>SLOPE CALCULATION APPLICATION · PROJECT PLATE</t>
        </is>
      </c>
    </row>
    <row r="2" ht="25" customHeight="1">
      <c r="A2" s="2" t="inlineStr">
        <is>
          <t>FIELD</t>
        </is>
      </c>
      <c r="B2" s="2" t="inlineStr">
        <is>
          <t>PROJECT INFORMATION</t>
        </is>
      </c>
    </row>
    <row r="3" ht="24" customHeight="1">
      <c r="A3" s="3" t="inlineStr">
        <is>
          <t>Project name</t>
        </is>
      </c>
      <c r="B3" s="3" t="inlineStr"/>
    </row>
    <row r="4" ht="24" customHeight="1">
      <c r="A4" s="4" t="inlineStr">
        <is>
          <t>Client / owner</t>
        </is>
      </c>
      <c r="B4" s="4" t="inlineStr"/>
    </row>
    <row r="5" ht="24" customHeight="1">
      <c r="A5" s="3" t="inlineStr">
        <is>
          <t>Contractor / consultant</t>
        </is>
      </c>
      <c r="B5" s="3" t="inlineStr"/>
    </row>
    <row r="6" ht="24" customHeight="1">
      <c r="A6" s="4" t="inlineStr">
        <is>
          <t>Project / contract number</t>
        </is>
      </c>
      <c r="B6" s="4" t="inlineStr"/>
    </row>
    <row r="7" ht="24" customHeight="1">
      <c r="A7" s="3" t="inlineStr">
        <is>
          <t>Location / site</t>
        </is>
      </c>
      <c r="B7" s="3" t="inlineStr"/>
    </row>
    <row r="8" ht="24" customHeight="1">
      <c r="A8" s="4" t="inlineStr">
        <is>
          <t>Work package / area</t>
        </is>
      </c>
      <c r="B8" s="4" t="inlineStr"/>
    </row>
    <row r="9" ht="24" customHeight="1">
      <c r="A9" s="3" t="inlineStr">
        <is>
          <t>Drawing number</t>
        </is>
      </c>
      <c r="B9" s="3" t="inlineStr"/>
    </row>
    <row r="10" ht="24" customHeight="1">
      <c r="A10" s="4" t="inlineStr">
        <is>
          <t>Drawing title / description</t>
        </is>
      </c>
      <c r="B10" s="4" t="inlineStr"/>
    </row>
    <row r="11" ht="24" customHeight="1">
      <c r="A11" s="3" t="inlineStr">
        <is>
          <t>Revision</t>
        </is>
      </c>
      <c r="B11" s="3" t="inlineStr"/>
    </row>
    <row r="12" ht="24" customHeight="1">
      <c r="A12" s="4" t="inlineStr">
        <is>
          <t>Drawing scale</t>
        </is>
      </c>
      <c r="B12" s="4" t="inlineStr"/>
    </row>
    <row r="13" ht="24" customHeight="1">
      <c r="A13" s="3" t="inlineStr">
        <is>
          <t>Plot / zone / chainage range</t>
        </is>
      </c>
      <c r="B13" s="3" t="inlineStr"/>
    </row>
    <row r="14" ht="24" customHeight="1">
      <c r="A14" s="4" t="inlineStr">
        <is>
          <t>Area (m²)</t>
        </is>
      </c>
      <c r="B14" s="4" t="inlineStr"/>
    </row>
    <row r="15" ht="24" customHeight="1">
      <c r="A15" s="3" t="inlineStr">
        <is>
          <t>Prepared by</t>
        </is>
      </c>
      <c r="B15" s="3" t="inlineStr"/>
    </row>
    <row r="16" ht="24" customHeight="1">
      <c r="A16" s="4" t="inlineStr">
        <is>
          <t>Checked / approved by</t>
        </is>
      </c>
      <c r="B16" s="4" t="inlineStr"/>
    </row>
    <row r="17" ht="24" customHeight="1">
      <c r="A17" s="3" t="inlineStr">
        <is>
          <t>Remarks / datum / control reference</t>
        </is>
      </c>
      <c r="B17" s="3" t="inlineStr"/>
    </row>
    <row r="18" ht="24" customHeight="1">
      <c r="A18" s="4" t="inlineStr">
        <is>
          <t>Work date</t>
        </is>
      </c>
      <c r="B18" s="4" t="inlineStr"/>
    </row>
    <row r="19" ht="24" customHeight="1">
      <c r="A19" s="3" t="inlineStr">
        <is>
          <t>Units</t>
        </is>
      </c>
      <c r="B19" s="3" t="inlineStr">
        <is>
          <t>Metres (m), unless noted</t>
        </is>
      </c>
    </row>
    <row r="20" ht="24" customHeight="1">
      <c r="A20" s="4" t="inlineStr">
        <is>
          <t>Report purpose</t>
        </is>
      </c>
      <c r="B20" s="4" t="inlineStr">
        <is>
          <t>Design / setting-out / as-built review</t>
        </is>
      </c>
    </row>
  </sheetData>
  <autoFilter ref="A2:B20"/>
  <mergeCells count="1">
    <mergeCell ref="A1:B1"/>
  </mergeCells>
  <pageMargins left="0.25" right="0.25" top="0.5" bottom="0.5" header="0.5" footer="0.5"/>
  <pageSetup fitToHeight="0" fitToWidth="1"/>
  <headerFooter>
    <oddHeader>&amp;C&amp;BSlope Calculation Application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58" customWidth="1" min="3" max="3"/>
  </cols>
  <sheetData>
    <row r="1" ht="30" customHeight="1">
      <c r="A1" s="1" t="inlineStr">
        <is>
          <t>SLOPE CALCULATION · SUMMARY &amp; INPUTS</t>
        </is>
      </c>
    </row>
    <row r="2" ht="25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 / NOTES</t>
        </is>
      </c>
    </row>
    <row r="3">
      <c r="A3" s="3" t="inlineStr">
        <is>
          <t>Start level Y1</t>
        </is>
      </c>
      <c r="B3" s="5" t="n">
        <v>1.9</v>
      </c>
      <c r="C3" s="3" t="inlineStr">
        <is>
          <t>m — enter known start level</t>
        </is>
      </c>
    </row>
    <row r="4">
      <c r="A4" s="4" t="inlineStr">
        <is>
          <t>End level Y2</t>
        </is>
      </c>
      <c r="B4" s="6" t="n">
        <v>0.6</v>
      </c>
      <c r="C4" s="4" t="inlineStr">
        <is>
          <t>m — enter known end level</t>
        </is>
      </c>
    </row>
    <row r="5">
      <c r="A5" s="3" t="inlineStr">
        <is>
          <t>Start distance X1</t>
        </is>
      </c>
      <c r="B5" s="5" t="n">
        <v>0</v>
      </c>
      <c r="C5" s="3" t="inlineStr">
        <is>
          <t>m</t>
        </is>
      </c>
    </row>
    <row r="6">
      <c r="A6" s="4" t="inlineStr">
        <is>
          <t>End distance X2</t>
        </is>
      </c>
      <c r="B6" s="6" t="n">
        <v>379.29</v>
      </c>
      <c r="C6" s="4" t="inlineStr">
        <is>
          <t>m — must be greater than X1</t>
        </is>
      </c>
    </row>
    <row r="7">
      <c r="A7" s="3" t="inlineStr">
        <is>
          <t>Height difference ΔH</t>
        </is>
      </c>
      <c r="B7" s="5">
        <f>B4-B3</f>
        <v/>
      </c>
      <c r="C7" s="3" t="inlineStr">
        <is>
          <t>m</t>
        </is>
      </c>
    </row>
    <row r="8">
      <c r="A8" s="4" t="inlineStr">
        <is>
          <t>Horizontal distance ΔX</t>
        </is>
      </c>
      <c r="B8" s="6">
        <f>B6-B5</f>
        <v/>
      </c>
      <c r="C8" s="4" t="inlineStr">
        <is>
          <t>m</t>
        </is>
      </c>
    </row>
    <row r="9">
      <c r="A9" s="3" t="inlineStr">
        <is>
          <t>Slope per metre</t>
        </is>
      </c>
      <c r="B9" s="5">
        <f>IFERROR(B7/B8,0)</f>
        <v/>
      </c>
      <c r="C9" s="3" t="inlineStr">
        <is>
          <t>m/m</t>
        </is>
      </c>
    </row>
    <row r="10">
      <c r="A10" s="4" t="inlineStr">
        <is>
          <t>Slope percentage</t>
        </is>
      </c>
      <c r="B10" s="7">
        <f>B9*100</f>
        <v/>
      </c>
      <c r="C10" s="4" t="inlineStr">
        <is>
          <t>%</t>
        </is>
      </c>
    </row>
    <row r="11">
      <c r="A11" s="3" t="inlineStr">
        <is>
          <t>Gradient</t>
        </is>
      </c>
      <c r="B11" s="8">
        <f>IF(B9=0,"LEVEL","1 : "&amp;TEXT(ABS(1/B9),"0.000"))</f>
        <v/>
      </c>
      <c r="C11" s="3" t="inlineStr">
        <is>
          <t>Ratio</t>
        </is>
      </c>
    </row>
    <row r="12">
      <c r="A12" s="4" t="inlineStr">
        <is>
          <t>Direction</t>
        </is>
      </c>
      <c r="B12" s="6">
        <f>IF(B9&lt;0,"FALLING",IF(B9&gt;0,"RISING","LEVEL"))</f>
        <v/>
      </c>
      <c r="C12" s="4" t="inlineStr">
        <is>
          <t>Start to end</t>
        </is>
      </c>
    </row>
    <row r="13">
      <c r="A13" s="3" t="inlineStr">
        <is>
          <t>Chainage interval</t>
        </is>
      </c>
      <c r="B13" s="5" t="n">
        <v>20</v>
      </c>
      <c r="C13" s="3" t="inlineStr">
        <is>
          <t>m</t>
        </is>
      </c>
    </row>
    <row r="14">
      <c r="A14" s="4" t="inlineStr">
        <is>
          <t>Display decimals</t>
        </is>
      </c>
      <c r="B14" s="6" t="n">
        <v>3</v>
      </c>
      <c r="C14" s="4" t="inlineStr">
        <is>
          <t>decimal places</t>
        </is>
      </c>
    </row>
    <row r="15">
      <c r="A15" s="3" t="inlineStr">
        <is>
          <t>Calculation formula</t>
        </is>
      </c>
      <c r="B15" s="5" t="inlineStr">
        <is>
          <t>(Y2 − Y1) ÷ (X2 − X1)</t>
        </is>
      </c>
      <c r="C15" s="3" t="inlineStr">
        <is>
          <t>Verify input datum and units</t>
        </is>
      </c>
    </row>
    <row r="16">
      <c r="A16" s="4" t="inlineStr">
        <is>
          <t>Review note</t>
        </is>
      </c>
      <c r="B16" s="6" t="inlineStr">
        <is>
          <t>Confirm design criteria and independent check before construction use.</t>
        </is>
      </c>
      <c r="C16" s="4" t="inlineStr"/>
    </row>
  </sheetData>
  <mergeCells count="1">
    <mergeCell ref="A1:C1"/>
  </mergeCells>
  <pageMargins left="0.25" right="0.25" top="0.5" bottom="0.5" header="0.5" footer="0.5"/>
  <pageSetup fitToHeight="0" fitToWidth="1"/>
  <headerFooter>
    <oddHeader>&amp;C&amp;BSlope Calculation Application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7" customWidth="1" min="4" max="4"/>
    <col width="27" customWidth="1" min="5" max="5"/>
  </cols>
  <sheetData>
    <row r="1" ht="30" customHeight="1">
      <c r="A1" s="1" t="inlineStr">
        <is>
          <t>CHAINAGE LEVELS · EXAMPLE SCHEDULE</t>
        </is>
      </c>
    </row>
    <row r="2" ht="25" customHeight="1">
      <c r="A2" s="2" t="inlineStr">
        <is>
          <t>CHAINAGE</t>
        </is>
      </c>
      <c r="B2" s="2" t="inlineStr">
        <is>
          <t>DISTANCE FROM START (m)</t>
        </is>
      </c>
      <c r="C2" s="2" t="inlineStr">
        <is>
          <t>LEVEL (m)</t>
        </is>
      </c>
      <c r="D2" s="2" t="inlineStr">
        <is>
          <t>CHANGE FROM START (m)</t>
        </is>
      </c>
      <c r="E2" s="2" t="inlineStr">
        <is>
          <t>ABSOLUTE DISTANCE (m)</t>
        </is>
      </c>
    </row>
    <row r="3">
      <c r="A3" s="3">
        <f>TEXT(E3,"0+000.000")</f>
        <v/>
      </c>
      <c r="B3" s="5">
        <f>IF(E3="","",E3-'Slope Summary'!B5)</f>
        <v/>
      </c>
      <c r="C3" s="5">
        <f>IF(E3="","",'Slope Summary'!B3+'Slope Summary'!B9*B3)</f>
        <v/>
      </c>
      <c r="D3" s="5">
        <f>IF(C3="","",C3-'Slope Summary'!B3)</f>
        <v/>
      </c>
      <c r="E3" s="5">
        <f>IF(ROW()=3,'Slope Summary'!B5,IF(E2&gt;='Slope Summary'!B6,"",MIN(E2+'Slope Summary'!B13,'Slope Summary'!B6)))</f>
        <v/>
      </c>
    </row>
    <row r="4">
      <c r="A4" s="4">
        <f>TEXT(E4,"0+000.000")</f>
        <v/>
      </c>
      <c r="B4" s="6">
        <f>IF(E4="","",E4-'Slope Summary'!B5)</f>
        <v/>
      </c>
      <c r="C4" s="6">
        <f>IF(E4="","",'Slope Summary'!B3+'Slope Summary'!B9*B4)</f>
        <v/>
      </c>
      <c r="D4" s="6">
        <f>IF(C4="","",C4-'Slope Summary'!B3)</f>
        <v/>
      </c>
      <c r="E4" s="6">
        <f>IF(ROW()=3,'Slope Summary'!B5,IF(E3&gt;='Slope Summary'!B6,"",MIN(E3+'Slope Summary'!B13,'Slope Summary'!B6)))</f>
        <v/>
      </c>
    </row>
    <row r="5">
      <c r="A5" s="3">
        <f>TEXT(E5,"0+000.000")</f>
        <v/>
      </c>
      <c r="B5" s="5">
        <f>IF(E5="","",E5-'Slope Summary'!B5)</f>
        <v/>
      </c>
      <c r="C5" s="5">
        <f>IF(E5="","",'Slope Summary'!B3+'Slope Summary'!B9*B5)</f>
        <v/>
      </c>
      <c r="D5" s="5">
        <f>IF(C5="","",C5-'Slope Summary'!B3)</f>
        <v/>
      </c>
      <c r="E5" s="5">
        <f>IF(ROW()=3,'Slope Summary'!B5,IF(E4&gt;='Slope Summary'!B6,"",MIN(E4+'Slope Summary'!B13,'Slope Summary'!B6)))</f>
        <v/>
      </c>
    </row>
    <row r="6">
      <c r="A6" s="4">
        <f>TEXT(E6,"0+000.000")</f>
        <v/>
      </c>
      <c r="B6" s="6">
        <f>IF(E6="","",E6-'Slope Summary'!B5)</f>
        <v/>
      </c>
      <c r="C6" s="6">
        <f>IF(E6="","",'Slope Summary'!B3+'Slope Summary'!B9*B6)</f>
        <v/>
      </c>
      <c r="D6" s="6">
        <f>IF(C6="","",C6-'Slope Summary'!B3)</f>
        <v/>
      </c>
      <c r="E6" s="6">
        <f>IF(ROW()=3,'Slope Summary'!B5,IF(E5&gt;='Slope Summary'!B6,"",MIN(E5+'Slope Summary'!B13,'Slope Summary'!B6)))</f>
        <v/>
      </c>
    </row>
    <row r="7">
      <c r="A7" s="3">
        <f>TEXT(E7,"0+000.000")</f>
        <v/>
      </c>
      <c r="B7" s="5">
        <f>IF(E7="","",E7-'Slope Summary'!B5)</f>
        <v/>
      </c>
      <c r="C7" s="5">
        <f>IF(E7="","",'Slope Summary'!B3+'Slope Summary'!B9*B7)</f>
        <v/>
      </c>
      <c r="D7" s="5">
        <f>IF(C7="","",C7-'Slope Summary'!B3)</f>
        <v/>
      </c>
      <c r="E7" s="5">
        <f>IF(ROW()=3,'Slope Summary'!B5,IF(E6&gt;='Slope Summary'!B6,"",MIN(E6+'Slope Summary'!B13,'Slope Summary'!B6)))</f>
        <v/>
      </c>
    </row>
    <row r="8">
      <c r="A8" s="4">
        <f>TEXT(E8,"0+000.000")</f>
        <v/>
      </c>
      <c r="B8" s="6">
        <f>IF(E8="","",E8-'Slope Summary'!B5)</f>
        <v/>
      </c>
      <c r="C8" s="6">
        <f>IF(E8="","",'Slope Summary'!B3+'Slope Summary'!B9*B8)</f>
        <v/>
      </c>
      <c r="D8" s="6">
        <f>IF(C8="","",C8-'Slope Summary'!B3)</f>
        <v/>
      </c>
      <c r="E8" s="6">
        <f>IF(ROW()=3,'Slope Summary'!B5,IF(E7&gt;='Slope Summary'!B6,"",MIN(E7+'Slope Summary'!B13,'Slope Summary'!B6)))</f>
        <v/>
      </c>
    </row>
    <row r="9">
      <c r="A9" s="3">
        <f>TEXT(E9,"0+000.000")</f>
        <v/>
      </c>
      <c r="B9" s="5">
        <f>IF(E9="","",E9-'Slope Summary'!B5)</f>
        <v/>
      </c>
      <c r="C9" s="5">
        <f>IF(E9="","",'Slope Summary'!B3+'Slope Summary'!B9*B9)</f>
        <v/>
      </c>
      <c r="D9" s="5">
        <f>IF(C9="","",C9-'Slope Summary'!B3)</f>
        <v/>
      </c>
      <c r="E9" s="5">
        <f>IF(ROW()=3,'Slope Summary'!B5,IF(E8&gt;='Slope Summary'!B6,"",MIN(E8+'Slope Summary'!B13,'Slope Summary'!B6)))</f>
        <v/>
      </c>
    </row>
    <row r="10">
      <c r="A10" s="4">
        <f>TEXT(E10,"0+000.000")</f>
        <v/>
      </c>
      <c r="B10" s="6">
        <f>IF(E10="","",E10-'Slope Summary'!B5)</f>
        <v/>
      </c>
      <c r="C10" s="6">
        <f>IF(E10="","",'Slope Summary'!B3+'Slope Summary'!B9*B10)</f>
        <v/>
      </c>
      <c r="D10" s="6">
        <f>IF(C10="","",C10-'Slope Summary'!B3)</f>
        <v/>
      </c>
      <c r="E10" s="6">
        <f>IF(ROW()=3,'Slope Summary'!B5,IF(E9&gt;='Slope Summary'!B6,"",MIN(E9+'Slope Summary'!B13,'Slope Summary'!B6)))</f>
        <v/>
      </c>
    </row>
    <row r="11">
      <c r="A11" s="3">
        <f>TEXT(E11,"0+000.000")</f>
        <v/>
      </c>
      <c r="B11" s="5">
        <f>IF(E11="","",E11-'Slope Summary'!B5)</f>
        <v/>
      </c>
      <c r="C11" s="5">
        <f>IF(E11="","",'Slope Summary'!B3+'Slope Summary'!B9*B11)</f>
        <v/>
      </c>
      <c r="D11" s="5">
        <f>IF(C11="","",C11-'Slope Summary'!B3)</f>
        <v/>
      </c>
      <c r="E11" s="5">
        <f>IF(ROW()=3,'Slope Summary'!B5,IF(E10&gt;='Slope Summary'!B6,"",MIN(E10+'Slope Summary'!B13,'Slope Summary'!B6)))</f>
        <v/>
      </c>
    </row>
    <row r="12">
      <c r="A12" s="4">
        <f>TEXT(E12,"0+000.000")</f>
        <v/>
      </c>
      <c r="B12" s="6">
        <f>IF(E12="","",E12-'Slope Summary'!B5)</f>
        <v/>
      </c>
      <c r="C12" s="6">
        <f>IF(E12="","",'Slope Summary'!B3+'Slope Summary'!B9*B12)</f>
        <v/>
      </c>
      <c r="D12" s="6">
        <f>IF(C12="","",C12-'Slope Summary'!B3)</f>
        <v/>
      </c>
      <c r="E12" s="6">
        <f>IF(ROW()=3,'Slope Summary'!B5,IF(E11&gt;='Slope Summary'!B6,"",MIN(E11+'Slope Summary'!B13,'Slope Summary'!B6)))</f>
        <v/>
      </c>
    </row>
    <row r="13">
      <c r="A13" s="3">
        <f>TEXT(E13,"0+000.000")</f>
        <v/>
      </c>
      <c r="B13" s="5">
        <f>IF(E13="","",E13-'Slope Summary'!B5)</f>
        <v/>
      </c>
      <c r="C13" s="5">
        <f>IF(E13="","",'Slope Summary'!B3+'Slope Summary'!B9*B13)</f>
        <v/>
      </c>
      <c r="D13" s="5">
        <f>IF(C13="","",C13-'Slope Summary'!B3)</f>
        <v/>
      </c>
      <c r="E13" s="5">
        <f>IF(ROW()=3,'Slope Summary'!B5,IF(E12&gt;='Slope Summary'!B6,"",MIN(E12+'Slope Summary'!B13,'Slope Summary'!B6)))</f>
        <v/>
      </c>
    </row>
    <row r="14">
      <c r="A14" s="4">
        <f>TEXT(E14,"0+000.000")</f>
        <v/>
      </c>
      <c r="B14" s="6">
        <f>IF(E14="","",E14-'Slope Summary'!B5)</f>
        <v/>
      </c>
      <c r="C14" s="6">
        <f>IF(E14="","",'Slope Summary'!B3+'Slope Summary'!B9*B14)</f>
        <v/>
      </c>
      <c r="D14" s="6">
        <f>IF(C14="","",C14-'Slope Summary'!B3)</f>
        <v/>
      </c>
      <c r="E14" s="6">
        <f>IF(ROW()=3,'Slope Summary'!B5,IF(E13&gt;='Slope Summary'!B6,"",MIN(E13+'Slope Summary'!B13,'Slope Summary'!B6)))</f>
        <v/>
      </c>
    </row>
    <row r="15">
      <c r="A15" s="3">
        <f>TEXT(E15,"0+000.000")</f>
        <v/>
      </c>
      <c r="B15" s="5">
        <f>IF(E15="","",E15-'Slope Summary'!B5)</f>
        <v/>
      </c>
      <c r="C15" s="5">
        <f>IF(E15="","",'Slope Summary'!B3+'Slope Summary'!B9*B15)</f>
        <v/>
      </c>
      <c r="D15" s="5">
        <f>IF(C15="","",C15-'Slope Summary'!B3)</f>
        <v/>
      </c>
      <c r="E15" s="5">
        <f>IF(ROW()=3,'Slope Summary'!B5,IF(E14&gt;='Slope Summary'!B6,"",MIN(E14+'Slope Summary'!B13,'Slope Summary'!B6)))</f>
        <v/>
      </c>
    </row>
    <row r="16">
      <c r="A16" s="4">
        <f>TEXT(E16,"0+000.000")</f>
        <v/>
      </c>
      <c r="B16" s="6">
        <f>IF(E16="","",E16-'Slope Summary'!B5)</f>
        <v/>
      </c>
      <c r="C16" s="6">
        <f>IF(E16="","",'Slope Summary'!B3+'Slope Summary'!B9*B16)</f>
        <v/>
      </c>
      <c r="D16" s="6">
        <f>IF(C16="","",C16-'Slope Summary'!B3)</f>
        <v/>
      </c>
      <c r="E16" s="6">
        <f>IF(ROW()=3,'Slope Summary'!B5,IF(E15&gt;='Slope Summary'!B6,"",MIN(E15+'Slope Summary'!B13,'Slope Summary'!B6)))</f>
        <v/>
      </c>
    </row>
    <row r="17">
      <c r="A17" s="3">
        <f>TEXT(E17,"0+000.000")</f>
        <v/>
      </c>
      <c r="B17" s="5">
        <f>IF(E17="","",E17-'Slope Summary'!B5)</f>
        <v/>
      </c>
      <c r="C17" s="5">
        <f>IF(E17="","",'Slope Summary'!B3+'Slope Summary'!B9*B17)</f>
        <v/>
      </c>
      <c r="D17" s="5">
        <f>IF(C17="","",C17-'Slope Summary'!B3)</f>
        <v/>
      </c>
      <c r="E17" s="5">
        <f>IF(ROW()=3,'Slope Summary'!B5,IF(E16&gt;='Slope Summary'!B6,"",MIN(E16+'Slope Summary'!B13,'Slope Summary'!B6)))</f>
        <v/>
      </c>
    </row>
    <row r="18">
      <c r="A18" s="4">
        <f>TEXT(E18,"0+000.000")</f>
        <v/>
      </c>
      <c r="B18" s="6">
        <f>IF(E18="","",E18-'Slope Summary'!B5)</f>
        <v/>
      </c>
      <c r="C18" s="6">
        <f>IF(E18="","",'Slope Summary'!B3+'Slope Summary'!B9*B18)</f>
        <v/>
      </c>
      <c r="D18" s="6">
        <f>IF(C18="","",C18-'Slope Summary'!B3)</f>
        <v/>
      </c>
      <c r="E18" s="6">
        <f>IF(ROW()=3,'Slope Summary'!B5,IF(E17&gt;='Slope Summary'!B6,"",MIN(E17+'Slope Summary'!B13,'Slope Summary'!B6)))</f>
        <v/>
      </c>
    </row>
    <row r="19">
      <c r="A19" s="3">
        <f>TEXT(E19,"0+000.000")</f>
        <v/>
      </c>
      <c r="B19" s="5">
        <f>IF(E19="","",E19-'Slope Summary'!B5)</f>
        <v/>
      </c>
      <c r="C19" s="5">
        <f>IF(E19="","",'Slope Summary'!B3+'Slope Summary'!B9*B19)</f>
        <v/>
      </c>
      <c r="D19" s="5">
        <f>IF(C19="","",C19-'Slope Summary'!B3)</f>
        <v/>
      </c>
      <c r="E19" s="5">
        <f>IF(ROW()=3,'Slope Summary'!B5,IF(E18&gt;='Slope Summary'!B6,"",MIN(E18+'Slope Summary'!B13,'Slope Summary'!B6)))</f>
        <v/>
      </c>
    </row>
    <row r="20">
      <c r="A20" s="4">
        <f>TEXT(E20,"0+000.000")</f>
        <v/>
      </c>
      <c r="B20" s="6">
        <f>IF(E20="","",E20-'Slope Summary'!B5)</f>
        <v/>
      </c>
      <c r="C20" s="6">
        <f>IF(E20="","",'Slope Summary'!B3+'Slope Summary'!B9*B20)</f>
        <v/>
      </c>
      <c r="D20" s="6">
        <f>IF(C20="","",C20-'Slope Summary'!B3)</f>
        <v/>
      </c>
      <c r="E20" s="6">
        <f>IF(ROW()=3,'Slope Summary'!B5,IF(E19&gt;='Slope Summary'!B6,"",MIN(E19+'Slope Summary'!B13,'Slope Summary'!B6)))</f>
        <v/>
      </c>
    </row>
    <row r="21">
      <c r="A21" s="3">
        <f>TEXT(E21,"0+000.000")</f>
        <v/>
      </c>
      <c r="B21" s="5">
        <f>IF(E21="","",E21-'Slope Summary'!B5)</f>
        <v/>
      </c>
      <c r="C21" s="5">
        <f>IF(E21="","",'Slope Summary'!B3+'Slope Summary'!B9*B21)</f>
        <v/>
      </c>
      <c r="D21" s="5">
        <f>IF(C21="","",C21-'Slope Summary'!B3)</f>
        <v/>
      </c>
      <c r="E21" s="5">
        <f>IF(ROW()=3,'Slope Summary'!B5,IF(E20&gt;='Slope Summary'!B6,"",MIN(E20+'Slope Summary'!B13,'Slope Summary'!B6)))</f>
        <v/>
      </c>
    </row>
    <row r="22">
      <c r="A22" s="4">
        <f>TEXT(E22,"0+000.000")</f>
        <v/>
      </c>
      <c r="B22" s="6">
        <f>IF(E22="","",E22-'Slope Summary'!B5)</f>
        <v/>
      </c>
      <c r="C22" s="6">
        <f>IF(E22="","",'Slope Summary'!B3+'Slope Summary'!B9*B22)</f>
        <v/>
      </c>
      <c r="D22" s="6">
        <f>IF(C22="","",C22-'Slope Summary'!B3)</f>
        <v/>
      </c>
      <c r="E22" s="6">
        <f>IF(ROW()=3,'Slope Summary'!B5,IF(E21&gt;='Slope Summary'!B6,"",MIN(E21+'Slope Summary'!B13,'Slope Summary'!B6)))</f>
        <v/>
      </c>
    </row>
    <row r="23">
      <c r="A23" s="3">
        <f>TEXT(E23,"0+000.000")</f>
        <v/>
      </c>
      <c r="B23" s="5">
        <f>IF(E23="","",E23-'Slope Summary'!B5)</f>
        <v/>
      </c>
      <c r="C23" s="5">
        <f>IF(E23="","",'Slope Summary'!B3+'Slope Summary'!B9*B23)</f>
        <v/>
      </c>
      <c r="D23" s="5">
        <f>IF(C23="","",C23-'Slope Summary'!B3)</f>
        <v/>
      </c>
      <c r="E23" s="5">
        <f>IF(ROW()=3,'Slope Summary'!B5,IF(E22&gt;='Slope Summary'!B6,"",MIN(E22+'Slope Summary'!B13,'Slope Summary'!B6)))</f>
        <v/>
      </c>
    </row>
    <row r="24">
      <c r="A24" s="4">
        <f>TEXT(E24,"0+000.000")</f>
        <v/>
      </c>
      <c r="B24" s="6">
        <f>IF(E24="","",E24-'Slope Summary'!B5)</f>
        <v/>
      </c>
      <c r="C24" s="6">
        <f>IF(E24="","",'Slope Summary'!B3+'Slope Summary'!B9*B24)</f>
        <v/>
      </c>
      <c r="D24" s="6">
        <f>IF(C24="","",C24-'Slope Summary'!B3)</f>
        <v/>
      </c>
      <c r="E24" s="6">
        <f>IF(ROW()=3,'Slope Summary'!B5,IF(E23&gt;='Slope Summary'!B6,"",MIN(E23+'Slope Summary'!B13,'Slope Summary'!B6)))</f>
        <v/>
      </c>
    </row>
    <row r="25">
      <c r="A25" s="3">
        <f>TEXT(E25,"0+000.000")</f>
        <v/>
      </c>
      <c r="B25" s="5">
        <f>IF(E25="","",E25-'Slope Summary'!B5)</f>
        <v/>
      </c>
      <c r="C25" s="5">
        <f>IF(E25="","",'Slope Summary'!B3+'Slope Summary'!B9*B25)</f>
        <v/>
      </c>
      <c r="D25" s="5">
        <f>IF(C25="","",C25-'Slope Summary'!B3)</f>
        <v/>
      </c>
      <c r="E25" s="5">
        <f>IF(ROW()=3,'Slope Summary'!B5,IF(E24&gt;='Slope Summary'!B6,"",MIN(E24+'Slope Summary'!B13,'Slope Summary'!B6)))</f>
        <v/>
      </c>
    </row>
    <row r="26">
      <c r="A26" s="4">
        <f>TEXT(E26,"0+000.000")</f>
        <v/>
      </c>
      <c r="B26" s="6">
        <f>IF(E26="","",E26-'Slope Summary'!B5)</f>
        <v/>
      </c>
      <c r="C26" s="6">
        <f>IF(E26="","",'Slope Summary'!B3+'Slope Summary'!B9*B26)</f>
        <v/>
      </c>
      <c r="D26" s="6">
        <f>IF(C26="","",C26-'Slope Summary'!B3)</f>
        <v/>
      </c>
      <c r="E26" s="6">
        <f>IF(ROW()=3,'Slope Summary'!B5,IF(E25&gt;='Slope Summary'!B6,"",MIN(E25+'Slope Summary'!B13,'Slope Summary'!B6)))</f>
        <v/>
      </c>
    </row>
    <row r="27">
      <c r="A27" s="3">
        <f>TEXT(E27,"0+000.000")</f>
        <v/>
      </c>
      <c r="B27" s="5">
        <f>IF(E27="","",E27-'Slope Summary'!B5)</f>
        <v/>
      </c>
      <c r="C27" s="5">
        <f>IF(E27="","",'Slope Summary'!B3+'Slope Summary'!B9*B27)</f>
        <v/>
      </c>
      <c r="D27" s="5">
        <f>IF(C27="","",C27-'Slope Summary'!B3)</f>
        <v/>
      </c>
      <c r="E27" s="5">
        <f>IF(ROW()=3,'Slope Summary'!B5,IF(E26&gt;='Slope Summary'!B6,"",MIN(E26+'Slope Summary'!B13,'Slope Summary'!B6)))</f>
        <v/>
      </c>
    </row>
  </sheetData>
  <autoFilter ref="A2:E27"/>
  <mergeCells count="1">
    <mergeCell ref="A1:E1"/>
  </mergeCells>
  <pageMargins left="0.25" right="0.25" top="0.5" bottom="0.5" header="0.5" footer="0.5"/>
  <pageSetup fitToHeight="0" fitToWidth="1"/>
  <headerFooter>
    <oddHeader>&amp;C&amp;BSlope Calculation Application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38" customWidth="1" min="3" max="3"/>
  </cols>
  <sheetData>
    <row r="1" ht="30" customHeight="1">
      <c r="A1" s="1" t="inlineStr">
        <is>
          <t>CROSS-FALL / CENTRELINE OFFSET</t>
        </is>
      </c>
    </row>
    <row r="2" ht="25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 / NOTES</t>
        </is>
      </c>
    </row>
    <row r="3">
      <c r="A3" s="3" t="inlineStr">
        <is>
          <t>Centreline level</t>
        </is>
      </c>
      <c r="B3" s="5" t="n">
        <v>10</v>
      </c>
      <c r="C3" s="3" t="inlineStr">
        <is>
          <t>m</t>
        </is>
      </c>
    </row>
    <row r="4">
      <c r="A4" s="4" t="inlineStr">
        <is>
          <t>Left slope</t>
        </is>
      </c>
      <c r="B4" s="6" t="n">
        <v>2</v>
      </c>
      <c r="C4" s="4" t="inlineStr">
        <is>
          <t>%</t>
        </is>
      </c>
    </row>
    <row r="5">
      <c r="A5" s="3" t="inlineStr">
        <is>
          <t>Left offset distance</t>
        </is>
      </c>
      <c r="B5" s="5" t="n">
        <v>3.5</v>
      </c>
      <c r="C5" s="3" t="inlineStr">
        <is>
          <t>m</t>
        </is>
      </c>
    </row>
    <row r="6">
      <c r="A6" s="4" t="inlineStr">
        <is>
          <t>Left direction</t>
        </is>
      </c>
      <c r="B6" s="6" t="n">
        <v>-1</v>
      </c>
      <c r="C6" s="4" t="inlineStr">
        <is>
          <t>-1 fall away; +1 rise away</t>
        </is>
      </c>
    </row>
    <row r="7">
      <c r="A7" s="3" t="inlineStr">
        <is>
          <t>Calculated left level</t>
        </is>
      </c>
      <c r="B7" s="5">
        <f>B3+B6*B5*ABS(B4)/100</f>
        <v/>
      </c>
      <c r="C7" s="3" t="inlineStr">
        <is>
          <t>m</t>
        </is>
      </c>
    </row>
    <row r="8">
      <c r="A8" s="4" t="inlineStr">
        <is>
          <t>Left level difference</t>
        </is>
      </c>
      <c r="B8" s="6">
        <f>B7-B3</f>
        <v/>
      </c>
      <c r="C8" s="4" t="inlineStr">
        <is>
          <t>m</t>
        </is>
      </c>
    </row>
    <row r="9">
      <c r="A9" s="3" t="inlineStr">
        <is>
          <t>Right slope</t>
        </is>
      </c>
      <c r="B9" s="5" t="n">
        <v>2.5</v>
      </c>
      <c r="C9" s="3" t="inlineStr">
        <is>
          <t>%</t>
        </is>
      </c>
    </row>
    <row r="10">
      <c r="A10" s="4" t="inlineStr">
        <is>
          <t>Right offset distance</t>
        </is>
      </c>
      <c r="B10" s="6" t="n">
        <v>3.5</v>
      </c>
      <c r="C10" s="4" t="inlineStr">
        <is>
          <t>m</t>
        </is>
      </c>
    </row>
    <row r="11">
      <c r="A11" s="3" t="inlineStr">
        <is>
          <t>Right direction</t>
        </is>
      </c>
      <c r="B11" s="5" t="n">
        <v>-1</v>
      </c>
      <c r="C11" s="3" t="inlineStr">
        <is>
          <t>-1 fall away; +1 rise away</t>
        </is>
      </c>
    </row>
    <row r="12">
      <c r="A12" s="4" t="inlineStr">
        <is>
          <t>Calculated right level</t>
        </is>
      </c>
      <c r="B12" s="6">
        <f>B3+B11*B10*ABS(B9)/100</f>
        <v/>
      </c>
      <c r="C12" s="4" t="inlineStr">
        <is>
          <t>m</t>
        </is>
      </c>
    </row>
    <row r="13">
      <c r="A13" s="3" t="inlineStr">
        <is>
          <t>Right level difference</t>
        </is>
      </c>
      <c r="B13" s="5">
        <f>B12-B3</f>
        <v/>
      </c>
      <c r="C13" s="3" t="inlineStr">
        <is>
          <t>m</t>
        </is>
      </c>
    </row>
    <row r="14">
      <c r="A14" s="4" t="inlineStr">
        <is>
          <t>Formula</t>
        </is>
      </c>
      <c r="B14" s="6" t="inlineStr">
        <is>
          <t>Level = CL + direction × distance × |slope %| ÷ 100</t>
        </is>
      </c>
      <c r="C14" s="4" t="inlineStr"/>
    </row>
  </sheetData>
  <mergeCells count="1">
    <mergeCell ref="A1:C1"/>
  </mergeCells>
  <pageMargins left="0.25" right="0.25" top="0.5" bottom="0.5" header="0.5" footer="0.5"/>
  <pageSetup fitToHeight="0" fitToWidth="1"/>
  <headerFooter>
    <oddHeader>&amp;C&amp;BSlope Calculation Application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60" customWidth="1" min="3" max="3"/>
  </cols>
  <sheetData>
    <row r="1" ht="30" customHeight="1">
      <c r="A1" s="1" t="inlineStr">
        <is>
          <t>SURVEY CALCULATION · QA / QC REVIEW</t>
        </is>
      </c>
      <c r="B1" s="1" t="n"/>
      <c r="C1" s="1" t="n"/>
    </row>
    <row r="2" ht="25" customHeight="1">
      <c r="A2" s="2" t="inlineStr">
        <is>
          <t>CHECK ITEM</t>
        </is>
      </c>
      <c r="B2" s="2" t="inlineStr">
        <is>
          <t>STATUS</t>
        </is>
      </c>
      <c r="C2" s="2" t="inlineStr">
        <is>
          <t>REVIEW NOTES / EVIDENCE</t>
        </is>
      </c>
    </row>
    <row r="3" ht="28" customHeight="1">
      <c r="A3" s="3" t="inlineStr">
        <is>
          <t>Project name, drawing number and revision confirmed</t>
        </is>
      </c>
      <c r="B3" s="9" t="inlineStr">
        <is>
          <t>Not checked</t>
        </is>
      </c>
      <c r="C3" s="3" t="inlineStr"/>
    </row>
    <row r="4" ht="28" customHeight="1">
      <c r="A4" s="4" t="inlineStr">
        <is>
          <t>Start and end levels checked against approved source</t>
        </is>
      </c>
      <c r="B4" s="9" t="inlineStr">
        <is>
          <t>Not checked</t>
        </is>
      </c>
      <c r="C4" s="4" t="inlineStr"/>
    </row>
    <row r="5" ht="28" customHeight="1">
      <c r="A5" s="3" t="inlineStr">
        <is>
          <t>Units and vertical datum confirmed</t>
        </is>
      </c>
      <c r="B5" s="9" t="inlineStr">
        <is>
          <t>Not checked</t>
        </is>
      </c>
      <c r="C5" s="3" t="inlineStr"/>
    </row>
    <row r="6" ht="28" customHeight="1">
      <c r="A6" s="4" t="inlineStr">
        <is>
          <t>Start and end distances / chainages verified</t>
        </is>
      </c>
      <c r="B6" s="9" t="inlineStr">
        <is>
          <t>Not checked</t>
        </is>
      </c>
      <c r="C6" s="4" t="inlineStr"/>
    </row>
    <row r="7" ht="28" customHeight="1">
      <c r="A7" s="3" t="inlineStr">
        <is>
          <t>Slope direction and percentage checked independently</t>
        </is>
      </c>
      <c r="B7" s="9" t="inlineStr">
        <is>
          <t>Not checked</t>
        </is>
      </c>
      <c r="C7" s="3" t="inlineStr"/>
    </row>
    <row r="8" ht="28" customHeight="1">
      <c r="A8" s="4" t="inlineStr">
        <is>
          <t>Station interval and end station checked</t>
        </is>
      </c>
      <c r="B8" s="9" t="inlineStr">
        <is>
          <t>Not checked</t>
        </is>
      </c>
      <c r="C8" s="4" t="inlineStr"/>
    </row>
    <row r="9" ht="28" customHeight="1">
      <c r="A9" s="3" t="inlineStr">
        <is>
          <t>Crossfall left/right directions verified</t>
        </is>
      </c>
      <c r="B9" s="9" t="inlineStr">
        <is>
          <t>Not checked</t>
        </is>
      </c>
      <c r="C9" s="3" t="inlineStr"/>
    </row>
    <row r="10" ht="28" customHeight="1">
      <c r="A10" s="4" t="inlineStr">
        <is>
          <t>Project area / zone information confirmed if applicable</t>
        </is>
      </c>
      <c r="B10" s="9" t="inlineStr">
        <is>
          <t>Not checked</t>
        </is>
      </c>
      <c r="C10" s="4" t="inlineStr"/>
    </row>
    <row r="11" ht="28" customHeight="1">
      <c r="A11" s="3" t="inlineStr">
        <is>
          <t>Excel results compared with an independent calculation</t>
        </is>
      </c>
      <c r="B11" s="9" t="inlineStr">
        <is>
          <t>Not checked</t>
        </is>
      </c>
      <c r="C11" s="3" t="inlineStr"/>
    </row>
    <row r="12" ht="28" customHeight="1">
      <c r="A12" s="4" t="inlineStr">
        <is>
          <t>Prepared / checked fields completed</t>
        </is>
      </c>
      <c r="B12" s="9" t="inlineStr">
        <is>
          <t>Not checked</t>
        </is>
      </c>
      <c r="C12" s="4" t="inlineStr"/>
    </row>
    <row r="13" ht="28" customHeight="1">
      <c r="A13" s="3" t="inlineStr">
        <is>
          <t>Report reviewed and approved before construction use</t>
        </is>
      </c>
      <c r="B13" s="9" t="inlineStr">
        <is>
          <t>Not checked</t>
        </is>
      </c>
      <c r="C13" s="3" t="inlineStr"/>
    </row>
  </sheetData>
  <autoFilter ref="A2:C13"/>
  <pageMargins left="0.25" right="0.25" top="0.5" bottom="0.5" header="0.5" footer="0.5"/>
  <pageSetup fitToHeight="0" fitToWidth="1"/>
  <headerFooter>
    <oddHeader>&amp;C&amp;BSlope Calculation Application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2026-10-29T09:08:23Z</dcterms:created>
  <dcterms:modified xmlns:dcterms="http://purl.org/dc/terms/" xmlns:xsi="http://www.w3.org/2001/XMLSchema-instance" xsi:type="dcterms:W3CDTF">2026-10-29T09:08:44Z</dcterms:modified>
</cp:coreProperties>
</file>