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ope Calculator" sheetId="1" r:id="rId5"/>
  </sheets>
  <definedNames/>
  <calcPr/>
</workbook>
</file>

<file path=xl/sharedStrings.xml><?xml version="1.0" encoding="utf-8"?>
<sst xmlns="http://schemas.openxmlformats.org/spreadsheetml/2006/main" count="57" uniqueCount="54">
  <si>
    <t xml:space="preserve">SLOPE CALCULATOR · Excel template</t>
  </si>
  <si>
    <t xml:space="preserve">Type in the yellow cells. Same formulas as the Slope Calculator app (exceltokml.com/slope-calculation).</t>
  </si>
  <si>
    <t xml:space="preserve">PROJECT PLATE</t>
  </si>
  <si>
    <t xml:space="preserve"/>
  </si>
  <si>
    <t xml:space="preserve">Project</t>
  </si>
  <si>
    <t xml:space="preserve">Client</t>
  </si>
  <si>
    <t xml:space="preserve">Location</t>
  </si>
  <si>
    <t xml:space="preserve">Drawing number</t>
  </si>
  <si>
    <t xml:space="preserve">Revision</t>
  </si>
  <si>
    <t xml:space="preserve">Prepared by</t>
  </si>
  <si>
    <t xml:space="preserve">Checked by</t>
  </si>
  <si>
    <t xml:space="preserve">Date</t>
  </si>
  <si>
    <t xml:space="preserve">YOUR DATA</t>
  </si>
  <si>
    <t xml:space="preserve">VALUE</t>
  </si>
  <si>
    <t xml:space="preserve">UNIT / NOTE</t>
  </si>
  <si>
    <t xml:space="preserve">CROSSFALL</t>
  </si>
  <si>
    <t xml:space="preserve">LEFT</t>
  </si>
  <si>
    <t xml:space="preserve">RIGHT</t>
  </si>
  <si>
    <t xml:space="preserve">Start level Y1</t>
  </si>
  <si>
    <t xml:space="preserve">m</t>
  </si>
  <si>
    <t xml:space="preserve">Centreline level</t>
  </si>
  <si>
    <t xml:space="preserve">End level Y2</t>
  </si>
  <si>
    <t xml:space="preserve">Crossfall %</t>
  </si>
  <si>
    <t xml:space="preserve">Start chainage X1</t>
  </si>
  <si>
    <t xml:space="preserve">m (1+000 is 1000)</t>
  </si>
  <si>
    <t xml:space="preserve">Offset (m)</t>
  </si>
  <si>
    <t xml:space="preserve">End chainage X2</t>
  </si>
  <si>
    <t xml:space="preserve">m, more than X1</t>
  </si>
  <si>
    <t xml:space="preserve">Falls away? (1 yes, 0 rises)</t>
  </si>
  <si>
    <t xml:space="preserve">Chainage interval</t>
  </si>
  <si>
    <t xml:space="preserve">Level</t>
  </si>
  <si>
    <t xml:space="preserve">Difference from CL</t>
  </si>
  <si>
    <t xml:space="preserve">RESULTS</t>
  </si>
  <si>
    <t xml:space="preserve">FORMULA</t>
  </si>
  <si>
    <t xml:space="preserve">Height difference ΔH</t>
  </si>
  <si>
    <t xml:space="preserve">ΔH = Y2 − Y1</t>
  </si>
  <si>
    <t xml:space="preserve">Horizontal distance ΔX</t>
  </si>
  <si>
    <t xml:space="preserve">ΔX = X2 − X1</t>
  </si>
  <si>
    <t xml:space="preserve">Slope per metre M</t>
  </si>
  <si>
    <t xml:space="preserve">M = ΔH ÷ ΔX</t>
  </si>
  <si>
    <t xml:space="preserve">Slope %</t>
  </si>
  <si>
    <t xml:space="preserve">M × 100</t>
  </si>
  <si>
    <t xml:space="preserve">Gradient 1 in</t>
  </si>
  <si>
    <t xml:space="preserve">1 ÷ |M|</t>
  </si>
  <si>
    <t xml:space="preserve">Direction</t>
  </si>
  <si>
    <t xml:space="preserve">from Y1 to Y2</t>
  </si>
  <si>
    <t xml:space="preserve">Stations</t>
  </si>
  <si>
    <t xml:space="preserve">rows in the table below</t>
  </si>
  <si>
    <t xml:space="preserve">Check: X2 must be more than X1 and the interval more than 0, or the table stays empty.</t>
  </si>
  <si>
    <t xml:space="preserve">CHAINAGE (m)</t>
  </si>
  <si>
    <t xml:space="preserve">CHAINAGE</t>
  </si>
  <si>
    <t xml:space="preserve">DISTANCE (m)</t>
  </si>
  <si>
    <t xml:space="preserve">LEVEL (m)</t>
  </si>
  <si>
    <t xml:space="preserve">CHANGE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</si>
</sst>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00"/>
    <numFmt numFmtId="165" formatCode="0.00"/>
    <numFmt numFmtId="166" formatCode="0.000"/>
    <numFmt numFmtId="167" formatCode="0.###"/>
    <numFmt numFmtId="168" formatCode="0.000"/>
    <numFmt numFmtId="169" formatCode="0.00000"/>
    <numFmt numFmtId="170" formatCode="0.0"/>
    <numFmt numFmtId="171" formatCode="0"/>
    <numFmt numFmtId="172" formatCode="0.000"/>
  </numFmts>
  <fonts count="6">
    <font>
      <sz val="10.0"/>
      <color rgb="FF000000"/>
      <name val="Arial"/>
    </font>
    <font>
      <color rgb="FFFFFFFF"/>
      <b/>
      <sz val="15"/>
    </font>
    <font>
      <color rgb="FF5A6A85"/>
      <i/>
    </font>
    <font>
      <color rgb="FF0A1A36"/>
      <b/>
      <sz val="11"/>
    </font>
    <font>
      <b/>
      <sz val="11"/>
    </font>
    <font>
      <sz val="11"/>
    </font>
  </fonts>
  <fills count="6">
    <fill>
      <patternFill patternType="none"/>
    </fill>
    <fill>
      <patternFill patternType="lightGray"/>
    </fill>
    <fill>
      <patternFill patternType="solid">
        <fgColor rgb="FF0A1A36"/>
        <bgColor rgb="FF0A1A36"/>
      </patternFill>
    </fill>
    <fill>
      <patternFill patternType="solid">
        <fgColor rgb="FFE9B949"/>
        <bgColor rgb="FFE9B949"/>
      </patternFill>
    </fill>
    <fill>
      <patternFill patternType="solid">
        <fgColor rgb="FFFFF4CC"/>
        <bgColor rgb="FFFFF4CC"/>
      </patternFill>
    </fill>
    <fill>
      <patternFill patternType="solid">
        <fgColor rgb="FFF3F5F9"/>
        <bgColor rgb="FFF3F5F9"/>
      </patternFill>
    </fill>
  </fills>
  <borders count="2">
    <border/>
    <border>
      <left style="thin">
        <color rgb="FFD5DCE8"/>
      </left>
      <right style="thin">
        <color rgb="FFD5DCE8"/>
      </right>
      <top style="thin">
        <color rgb="FFD5DCE8"/>
      </top>
      <bottom style="thin">
        <color rgb="FFD5DCE8"/>
      </bottom>
      <diagonal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Fill="1"/>
    <xf borderId="0" fillId="0" fontId="2" numFmtId="0" xfId="0"/>
    <xf borderId="1" fillId="3" fontId="3" numFmtId="0" xfId="0" applyFill="1"/>
    <xf borderId="1" fillId="0" fontId="4" numFmtId="0" xfId="0"/>
    <xf borderId="1" fillId="4" fontId="5" numFmtId="0" xfId="0" applyFill="1"/>
    <xf borderId="1" fillId="4" fontId="4" numFmtId="164" xfId="0" applyFill="1"/>
    <xf borderId="1" fillId="0" fontId="5" numFmtId="0" xfId="0"/>
    <xf borderId="1" fillId="4" fontId="5" numFmtId="165" xfId="0" applyFill="1"/>
    <xf borderId="1" fillId="4" fontId="5" numFmtId="166" xfId="0" applyFill="1"/>
    <xf borderId="1" fillId="4" fontId="4" numFmtId="167" xfId="0" applyFill="1"/>
    <xf borderId="1" fillId="5" fontId="4" numFmtId="168" xfId="0" applyFill="1"/>
    <xf borderId="1" fillId="5" fontId="4" numFmtId="169" xfId="0" applyFill="1"/>
    <xf borderId="1" fillId="5" fontId="4" numFmtId="170" xfId="0" applyFill="1"/>
    <xf borderId="1" fillId="5" fontId="4" numFmtId="0" xfId="0" applyFill="1"/>
    <xf borderId="1" fillId="5" fontId="4" numFmtId="171" xfId="0" applyFill="1"/>
    <xf borderId="1" fillId="5" fontId="5" numFmtId="172" xfId="0" applyFill="1"/>
    <xf borderId="1" fillId="5" fontId="5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6.00" bestFit="1" customWidth="1"/>
    <col min="2" max="2" width="16.00" bestFit="1" customWidth="1"/>
    <col min="3" max="3" width="22.00" bestFit="1" customWidth="1"/>
    <col min="4" max="4" width="14.00" bestFit="1" customWidth="1"/>
    <col min="5" max="5" width="14.00" bestFit="1" customWidth="1"/>
    <col min="6" max="6" width="8.43" bestFit="1" customWidth="1"/>
    <col min="7" max="7" width="8.43" bestFit="1" customWidth="1"/>
    <col min="8" max="8" width="28.00" bestFit="1" customWidth="1"/>
    <col min="9" max="9" width="12.00" bestFit="1" customWidth="1"/>
    <col min="10" max="10" width="12.00" bestFit="1" customWidth="1"/>
  </cols>
  <sheetData>
    <row r="1">
      <c r="A1" s="1" t="s">
        <v>0</v>
      </c>
      <c r="B1" s="1"/>
      <c r="C1" s="1"/>
      <c r="D1" s="1"/>
      <c r="E1" s="1"/>
      <c r="F1" s="1"/>
    </row>
    <row r="2">
      <c r="A2" s="2" t="s">
        <v>1</v>
      </c>
    </row>
    <row r="4">
      <c r="A4" s="3" t="s">
        <v>2</v>
      </c>
      <c r="B4" s="3" t="s">
        <v>3</v>
      </c>
    </row>
    <row r="5">
      <c r="A5" s="4" t="s">
        <v>4</v>
      </c>
      <c r="B5" s="5"/>
    </row>
    <row r="6">
      <c r="A6" s="4" t="s">
        <v>5</v>
      </c>
      <c r="B6" s="5"/>
    </row>
    <row r="7">
      <c r="A7" s="4" t="s">
        <v>6</v>
      </c>
      <c r="B7" s="5"/>
    </row>
    <row r="8">
      <c r="A8" s="4" t="s">
        <v>7</v>
      </c>
      <c r="B8" s="5"/>
    </row>
    <row r="9">
      <c r="A9" s="4" t="s">
        <v>8</v>
      </c>
      <c r="B9" s="5"/>
    </row>
    <row r="10">
      <c r="A10" s="4" t="s">
        <v>9</v>
      </c>
      <c r="B10" s="5"/>
    </row>
    <row r="11">
      <c r="A11" s="4" t="s">
        <v>10</v>
      </c>
      <c r="B11" s="5"/>
    </row>
    <row r="12">
      <c r="A12" s="4" t="s">
        <v>11</v>
      </c>
      <c r="B12" s="5"/>
    </row>
    <row r="14">
      <c r="A14" s="3" t="s">
        <v>12</v>
      </c>
      <c r="B14" s="3" t="s">
        <v>13</v>
      </c>
      <c r="C14" s="3" t="s">
        <v>14</v>
      </c>
      <c r="H14" s="3" t="s">
        <v>15</v>
      </c>
      <c r="I14" s="3" t="s">
        <v>16</v>
      </c>
      <c r="J14" s="3" t="s">
        <v>17</v>
      </c>
    </row>
    <row r="15">
      <c r="A15" s="4" t="s">
        <v>18</v>
      </c>
      <c r="B15" s="6">
        <v>102.5</v>
      </c>
      <c r="C15" s="7" t="s">
        <v>19</v>
      </c>
      <c r="H15" s="4" t="s">
        <v>20</v>
      </c>
      <c r="I15" s="6">
        <v>10.0</v>
      </c>
    </row>
    <row r="16">
      <c r="A16" s="4" t="s">
        <v>21</v>
      </c>
      <c r="B16" s="6">
        <v>98.75</v>
      </c>
      <c r="C16" s="7" t="s">
        <v>19</v>
      </c>
      <c r="H16" s="4" t="s">
        <v>22</v>
      </c>
      <c r="I16" s="8">
        <v>2.0</v>
      </c>
      <c r="J16" s="8">
        <v>2.5</v>
      </c>
    </row>
    <row r="17">
      <c r="A17" s="4" t="s">
        <v>23</v>
      </c>
      <c r="B17" s="6">
        <v>1000.0</v>
      </c>
      <c r="C17" s="7" t="s">
        <v>24</v>
      </c>
      <c r="H17" s="4" t="s">
        <v>25</v>
      </c>
      <c r="I17" s="9">
        <v>3.5</v>
      </c>
      <c r="J17" s="9">
        <v>3.5</v>
      </c>
    </row>
    <row r="18">
      <c r="A18" s="4" t="s">
        <v>26</v>
      </c>
      <c r="B18" s="6">
        <v>1250.0</v>
      </c>
      <c r="C18" s="7" t="s">
        <v>27</v>
      </c>
      <c r="H18" s="4" t="s">
        <v>28</v>
      </c>
      <c r="I18" s="5">
        <v>1</v>
      </c>
      <c r="J18" s="5">
        <v>1</v>
      </c>
    </row>
    <row r="19">
      <c r="A19" s="4" t="s">
        <v>29</v>
      </c>
      <c r="B19" s="10">
        <v>20.0</v>
      </c>
      <c r="C19" s="7" t="s">
        <v>19</v>
      </c>
      <c r="H19" s="4" t="s">
        <v>30</v>
      </c>
      <c r="I19" s="11">
        <f>$I$15+IF(I18=1,-1,1)*I17*I16/100</f>
        <v/>
      </c>
      <c r="J19" s="11">
        <f>$I$15+IF(J18=1,-1,1)*J17*J16/100</f>
        <v/>
      </c>
    </row>
    <row r="20">
      <c r="H20" s="4" t="s">
        <v>31</v>
      </c>
      <c r="I20" s="16">
        <f>ROUND(I19-$I$15,9)</f>
        <v/>
      </c>
      <c r="J20" s="16">
        <f>ROUND(J19-$I$15,9)</f>
        <v/>
      </c>
    </row>
    <row r="22">
      <c r="A22" s="3" t="s">
        <v>32</v>
      </c>
      <c r="B22" s="3" t="s">
        <v>13</v>
      </c>
      <c r="C22" s="3" t="s">
        <v>33</v>
      </c>
    </row>
    <row r="23">
      <c r="A23" s="4" t="s">
        <v>34</v>
      </c>
      <c r="B23" s="11">
        <f>B16-B15</f>
        <v/>
      </c>
      <c r="C23" s="7" t="s">
        <v>35</v>
      </c>
    </row>
    <row r="24">
      <c r="A24" s="4" t="s">
        <v>36</v>
      </c>
      <c r="B24" s="11">
        <f>B18-B17</f>
        <v/>
      </c>
      <c r="C24" s="7" t="s">
        <v>37</v>
      </c>
    </row>
    <row r="25">
      <c r="A25" s="4" t="s">
        <v>38</v>
      </c>
      <c r="B25" s="12">
        <f>IF(B24=0,"",B23/B24)</f>
        <v/>
      </c>
      <c r="C25" s="7" t="s">
        <v>39</v>
      </c>
    </row>
    <row r="26">
      <c r="A26" s="4" t="s">
        <v>40</v>
      </c>
      <c r="B26" s="11">
        <f>IF(B24=0,"",B25*100)</f>
        <v/>
      </c>
      <c r="C26" s="7" t="s">
        <v>41</v>
      </c>
    </row>
    <row r="27">
      <c r="A27" s="4" t="s">
        <v>42</v>
      </c>
      <c r="B27" s="13">
        <f>IF(OR(B24=0,B23=0),"level",1/ABS(B25))</f>
        <v/>
      </c>
      <c r="C27" s="7" t="s">
        <v>43</v>
      </c>
    </row>
    <row r="28">
      <c r="A28" s="4" t="s">
        <v>44</v>
      </c>
      <c r="B28" s="14">
        <f>IF(B23&gt;0,"Rising",IF(B23&lt;0,"Falling","Level"))</f>
        <v/>
      </c>
      <c r="C28" s="7" t="s">
        <v>45</v>
      </c>
    </row>
    <row r="29">
      <c r="A29" s="4" t="s">
        <v>46</v>
      </c>
      <c r="B29" s="15">
        <f>COUNT(A33:A533)</f>
        <v/>
      </c>
      <c r="C29" s="7" t="s">
        <v>47</v>
      </c>
    </row>
    <row r="30">
      <c r="A30" s="2" t="s">
        <v>48</v>
      </c>
    </row>
    <row r="32">
      <c r="A32" s="3" t="s">
        <v>49</v>
      </c>
      <c r="B32" s="3" t="s">
        <v>50</v>
      </c>
      <c r="C32" s="3" t="s">
        <v>51</v>
      </c>
      <c r="D32" s="3" t="s">
        <v>52</v>
      </c>
      <c r="E32" s="3" t="s">
        <v>53</v>
      </c>
    </row>
    <row r="33">
      <c r="A33" s="16">
        <f>IF(AND($B$18&gt;$B$17,$B$19&gt;0),$B$17,"")</f>
        <v/>
      </c>
      <c r="B33" s="17">
        <f>IF(A33="","",IF(A33&lt;0,"-","")&amp;INT(ABS(A33)/1000)&amp;"+"&amp;TEXT(MOD(ABS(A33),1000),"000.000"))</f>
        <v/>
      </c>
      <c r="C33" s="16">
        <f>IF(A33="","",A33-$B$17)</f>
        <v/>
      </c>
      <c r="D33" s="16">
        <f>IF(A33="","",ROUND($B$15+$B$25*(A33-$B$17),9))</f>
        <v/>
      </c>
      <c r="E33" s="16">
        <f>IF(A33="","",ROUND(D33-$B$15,9))</f>
        <v/>
      </c>
    </row>
    <row r="34">
      <c r="A34" s="16">
        <f>IF(OR(A33="",A33&gt;=$B$18),"",MIN($B$18,(FLOOR(A33/$B$19+0.000000001,1)+1)*$B$19))</f>
        <v/>
      </c>
      <c r="B34" s="17">
        <f>IF(A34="","",IF(A34&lt;0,"-","")&amp;INT(ABS(A34)/1000)&amp;"+"&amp;TEXT(MOD(ABS(A34),1000),"000.000"))</f>
        <v/>
      </c>
      <c r="C34" s="16">
        <f>IF(A34="","",A34-$B$17)</f>
        <v/>
      </c>
      <c r="D34" s="16">
        <f>IF(A34="","",ROUND($B$15+$B$25*(A34-$B$17),9))</f>
        <v/>
      </c>
      <c r="E34" s="16">
        <f>IF(A34="","",ROUND(D34-$B$15,9))</f>
        <v/>
      </c>
    </row>
    <row r="35">
      <c r="A35" s="16">
        <f>IF(OR(A34="",A34&gt;=$B$18),"",MIN($B$18,(FLOOR(A34/$B$19+0.000000001,1)+1)*$B$19))</f>
        <v/>
      </c>
      <c r="B35" s="17">
        <f>IF(A35="","",IF(A35&lt;0,"-","")&amp;INT(ABS(A35)/1000)&amp;"+"&amp;TEXT(MOD(ABS(A35),1000),"000.000"))</f>
        <v/>
      </c>
      <c r="C35" s="16">
        <f>IF(A35="","",A35-$B$17)</f>
        <v/>
      </c>
      <c r="D35" s="16">
        <f>IF(A35="","",ROUND($B$15+$B$25*(A35-$B$17),9))</f>
        <v/>
      </c>
      <c r="E35" s="16">
        <f>IF(A35="","",ROUND(D35-$B$15,9))</f>
        <v/>
      </c>
    </row>
    <row r="36">
      <c r="A36" s="16">
        <f>IF(OR(A35="",A35&gt;=$B$18),"",MIN($B$18,(FLOOR(A35/$B$19+0.000000001,1)+1)*$B$19))</f>
        <v/>
      </c>
      <c r="B36" s="17">
        <f>IF(A36="","",IF(A36&lt;0,"-","")&amp;INT(ABS(A36)/1000)&amp;"+"&amp;TEXT(MOD(ABS(A36),1000),"000.000"))</f>
        <v/>
      </c>
      <c r="C36" s="16">
        <f>IF(A36="","",A36-$B$17)</f>
        <v/>
      </c>
      <c r="D36" s="16">
        <f>IF(A36="","",ROUND($B$15+$B$25*(A36-$B$17),9))</f>
        <v/>
      </c>
      <c r="E36" s="16">
        <f>IF(A36="","",ROUND(D36-$B$15,9))</f>
        <v/>
      </c>
    </row>
    <row r="37">
      <c r="A37" s="16">
        <f>IF(OR(A36="",A36&gt;=$B$18),"",MIN($B$18,(FLOOR(A36/$B$19+0.000000001,1)+1)*$B$19))</f>
        <v/>
      </c>
      <c r="B37" s="17">
        <f>IF(A37="","",IF(A37&lt;0,"-","")&amp;INT(ABS(A37)/1000)&amp;"+"&amp;TEXT(MOD(ABS(A37),1000),"000.000"))</f>
        <v/>
      </c>
      <c r="C37" s="16">
        <f>IF(A37="","",A37-$B$17)</f>
        <v/>
      </c>
      <c r="D37" s="16">
        <f>IF(A37="","",ROUND($B$15+$B$25*(A37-$B$17),9))</f>
        <v/>
      </c>
      <c r="E37" s="16">
        <f>IF(A37="","",ROUND(D37-$B$15,9))</f>
        <v/>
      </c>
    </row>
    <row r="38">
      <c r="A38" s="16">
        <f>IF(OR(A37="",A37&gt;=$B$18),"",MIN($B$18,(FLOOR(A37/$B$19+0.000000001,1)+1)*$B$19))</f>
        <v/>
      </c>
      <c r="B38" s="17">
        <f>IF(A38="","",IF(A38&lt;0,"-","")&amp;INT(ABS(A38)/1000)&amp;"+"&amp;TEXT(MOD(ABS(A38),1000),"000.000"))</f>
        <v/>
      </c>
      <c r="C38" s="16">
        <f>IF(A38="","",A38-$B$17)</f>
        <v/>
      </c>
      <c r="D38" s="16">
        <f>IF(A38="","",ROUND($B$15+$B$25*(A38-$B$17),9))</f>
        <v/>
      </c>
      <c r="E38" s="16">
        <f>IF(A38="","",ROUND(D38-$B$15,9))</f>
        <v/>
      </c>
    </row>
    <row r="39">
      <c r="A39" s="16">
        <f>IF(OR(A38="",A38&gt;=$B$18),"",MIN($B$18,(FLOOR(A38/$B$19+0.000000001,1)+1)*$B$19))</f>
        <v/>
      </c>
      <c r="B39" s="17">
        <f>IF(A39="","",IF(A39&lt;0,"-","")&amp;INT(ABS(A39)/1000)&amp;"+"&amp;TEXT(MOD(ABS(A39),1000),"000.000"))</f>
        <v/>
      </c>
      <c r="C39" s="16">
        <f>IF(A39="","",A39-$B$17)</f>
        <v/>
      </c>
      <c r="D39" s="16">
        <f>IF(A39="","",ROUND($B$15+$B$25*(A39-$B$17),9))</f>
        <v/>
      </c>
      <c r="E39" s="16">
        <f>IF(A39="","",ROUND(D39-$B$15,9))</f>
        <v/>
      </c>
    </row>
    <row r="40">
      <c r="A40" s="16">
        <f>IF(OR(A39="",A39&gt;=$B$18),"",MIN($B$18,(FLOOR(A39/$B$19+0.000000001,1)+1)*$B$19))</f>
        <v/>
      </c>
      <c r="B40" s="17">
        <f>IF(A40="","",IF(A40&lt;0,"-","")&amp;INT(ABS(A40)/1000)&amp;"+"&amp;TEXT(MOD(ABS(A40),1000),"000.000"))</f>
        <v/>
      </c>
      <c r="C40" s="16">
        <f>IF(A40="","",A40-$B$17)</f>
        <v/>
      </c>
      <c r="D40" s="16">
        <f>IF(A40="","",ROUND($B$15+$B$25*(A40-$B$17),9))</f>
        <v/>
      </c>
      <c r="E40" s="16">
        <f>IF(A40="","",ROUND(D40-$B$15,9))</f>
        <v/>
      </c>
    </row>
    <row r="41">
      <c r="A41" s="16">
        <f>IF(OR(A40="",A40&gt;=$B$18),"",MIN($B$18,(FLOOR(A40/$B$19+0.000000001,1)+1)*$B$19))</f>
        <v/>
      </c>
      <c r="B41" s="17">
        <f>IF(A41="","",IF(A41&lt;0,"-","")&amp;INT(ABS(A41)/1000)&amp;"+"&amp;TEXT(MOD(ABS(A41),1000),"000.000"))</f>
        <v/>
      </c>
      <c r="C41" s="16">
        <f>IF(A41="","",A41-$B$17)</f>
        <v/>
      </c>
      <c r="D41" s="16">
        <f>IF(A41="","",ROUND($B$15+$B$25*(A41-$B$17),9))</f>
        <v/>
      </c>
      <c r="E41" s="16">
        <f>IF(A41="","",ROUND(D41-$B$15,9))</f>
        <v/>
      </c>
    </row>
    <row r="42">
      <c r="A42" s="16">
        <f>IF(OR(A41="",A41&gt;=$B$18),"",MIN($B$18,(FLOOR(A41/$B$19+0.000000001,1)+1)*$B$19))</f>
        <v/>
      </c>
      <c r="B42" s="17">
        <f>IF(A42="","",IF(A42&lt;0,"-","")&amp;INT(ABS(A42)/1000)&amp;"+"&amp;TEXT(MOD(ABS(A42),1000),"000.000"))</f>
        <v/>
      </c>
      <c r="C42" s="16">
        <f>IF(A42="","",A42-$B$17)</f>
        <v/>
      </c>
      <c r="D42" s="16">
        <f>IF(A42="","",ROUND($B$15+$B$25*(A42-$B$17),9))</f>
        <v/>
      </c>
      <c r="E42" s="16">
        <f>IF(A42="","",ROUND(D42-$B$15,9))</f>
        <v/>
      </c>
    </row>
    <row r="43">
      <c r="A43" s="16">
        <f>IF(OR(A42="",A42&gt;=$B$18),"",MIN($B$18,(FLOOR(A42/$B$19+0.000000001,1)+1)*$B$19))</f>
        <v/>
      </c>
      <c r="B43" s="17">
        <f>IF(A43="","",IF(A43&lt;0,"-","")&amp;INT(ABS(A43)/1000)&amp;"+"&amp;TEXT(MOD(ABS(A43),1000),"000.000"))</f>
        <v/>
      </c>
      <c r="C43" s="16">
        <f>IF(A43="","",A43-$B$17)</f>
        <v/>
      </c>
      <c r="D43" s="16">
        <f>IF(A43="","",ROUND($B$15+$B$25*(A43-$B$17),9))</f>
        <v/>
      </c>
      <c r="E43" s="16">
        <f>IF(A43="","",ROUND(D43-$B$15,9))</f>
        <v/>
      </c>
    </row>
    <row r="44">
      <c r="A44" s="16">
        <f>IF(OR(A43="",A43&gt;=$B$18),"",MIN($B$18,(FLOOR(A43/$B$19+0.000000001,1)+1)*$B$19))</f>
        <v/>
      </c>
      <c r="B44" s="17">
        <f>IF(A44="","",IF(A44&lt;0,"-","")&amp;INT(ABS(A44)/1000)&amp;"+"&amp;TEXT(MOD(ABS(A44),1000),"000.000"))</f>
        <v/>
      </c>
      <c r="C44" s="16">
        <f>IF(A44="","",A44-$B$17)</f>
        <v/>
      </c>
      <c r="D44" s="16">
        <f>IF(A44="","",ROUND($B$15+$B$25*(A44-$B$17),9))</f>
        <v/>
      </c>
      <c r="E44" s="16">
        <f>IF(A44="","",ROUND(D44-$B$15,9))</f>
        <v/>
      </c>
    </row>
    <row r="45">
      <c r="A45" s="16">
        <f>IF(OR(A44="",A44&gt;=$B$18),"",MIN($B$18,(FLOOR(A44/$B$19+0.000000001,1)+1)*$B$19))</f>
        <v/>
      </c>
      <c r="B45" s="17">
        <f>IF(A45="","",IF(A45&lt;0,"-","")&amp;INT(ABS(A45)/1000)&amp;"+"&amp;TEXT(MOD(ABS(A45),1000),"000.000"))</f>
        <v/>
      </c>
      <c r="C45" s="16">
        <f>IF(A45="","",A45-$B$17)</f>
        <v/>
      </c>
      <c r="D45" s="16">
        <f>IF(A45="","",ROUND($B$15+$B$25*(A45-$B$17),9))</f>
        <v/>
      </c>
      <c r="E45" s="16">
        <f>IF(A45="","",ROUND(D45-$B$15,9))</f>
        <v/>
      </c>
    </row>
    <row r="46">
      <c r="A46" s="16">
        <f>IF(OR(A45="",A45&gt;=$B$18),"",MIN($B$18,(FLOOR(A45/$B$19+0.000000001,1)+1)*$B$19))</f>
        <v/>
      </c>
      <c r="B46" s="17">
        <f>IF(A46="","",IF(A46&lt;0,"-","")&amp;INT(ABS(A46)/1000)&amp;"+"&amp;TEXT(MOD(ABS(A46),1000),"000.000"))</f>
        <v/>
      </c>
      <c r="C46" s="16">
        <f>IF(A46="","",A46-$B$17)</f>
        <v/>
      </c>
      <c r="D46" s="16">
        <f>IF(A46="","",ROUND($B$15+$B$25*(A46-$B$17),9))</f>
        <v/>
      </c>
      <c r="E46" s="16">
        <f>IF(A46="","",ROUND(D46-$B$15,9))</f>
        <v/>
      </c>
    </row>
    <row r="47">
      <c r="A47" s="16">
        <f>IF(OR(A46="",A46&gt;=$B$18),"",MIN($B$18,(FLOOR(A46/$B$19+0.000000001,1)+1)*$B$19))</f>
        <v/>
      </c>
      <c r="B47" s="17">
        <f>IF(A47="","",IF(A47&lt;0,"-","")&amp;INT(ABS(A47)/1000)&amp;"+"&amp;TEXT(MOD(ABS(A47),1000),"000.000"))</f>
        <v/>
      </c>
      <c r="C47" s="16">
        <f>IF(A47="","",A47-$B$17)</f>
        <v/>
      </c>
      <c r="D47" s="16">
        <f>IF(A47="","",ROUND($B$15+$B$25*(A47-$B$17),9))</f>
        <v/>
      </c>
      <c r="E47" s="16">
        <f>IF(A47="","",ROUND(D47-$B$15,9))</f>
        <v/>
      </c>
    </row>
    <row r="48">
      <c r="A48" s="16">
        <f>IF(OR(A47="",A47&gt;=$B$18),"",MIN($B$18,(FLOOR(A47/$B$19+0.000000001,1)+1)*$B$19))</f>
        <v/>
      </c>
      <c r="B48" s="17">
        <f>IF(A48="","",IF(A48&lt;0,"-","")&amp;INT(ABS(A48)/1000)&amp;"+"&amp;TEXT(MOD(ABS(A48),1000),"000.000"))</f>
        <v/>
      </c>
      <c r="C48" s="16">
        <f>IF(A48="","",A48-$B$17)</f>
        <v/>
      </c>
      <c r="D48" s="16">
        <f>IF(A48="","",ROUND($B$15+$B$25*(A48-$B$17),9))</f>
        <v/>
      </c>
      <c r="E48" s="16">
        <f>IF(A48="","",ROUND(D48-$B$15,9))</f>
        <v/>
      </c>
    </row>
    <row r="49">
      <c r="A49" s="16">
        <f>IF(OR(A48="",A48&gt;=$B$18),"",MIN($B$18,(FLOOR(A48/$B$19+0.000000001,1)+1)*$B$19))</f>
        <v/>
      </c>
      <c r="B49" s="17">
        <f>IF(A49="","",IF(A49&lt;0,"-","")&amp;INT(ABS(A49)/1000)&amp;"+"&amp;TEXT(MOD(ABS(A49),1000),"000.000"))</f>
        <v/>
      </c>
      <c r="C49" s="16">
        <f>IF(A49="","",A49-$B$17)</f>
        <v/>
      </c>
      <c r="D49" s="16">
        <f>IF(A49="","",ROUND($B$15+$B$25*(A49-$B$17),9))</f>
        <v/>
      </c>
      <c r="E49" s="16">
        <f>IF(A49="","",ROUND(D49-$B$15,9))</f>
        <v/>
      </c>
    </row>
    <row r="50">
      <c r="A50" s="16">
        <f>IF(OR(A49="",A49&gt;=$B$18),"",MIN($B$18,(FLOOR(A49/$B$19+0.000000001,1)+1)*$B$19))</f>
        <v/>
      </c>
      <c r="B50" s="17">
        <f>IF(A50="","",IF(A50&lt;0,"-","")&amp;INT(ABS(A50)/1000)&amp;"+"&amp;TEXT(MOD(ABS(A50),1000),"000.000"))</f>
        <v/>
      </c>
      <c r="C50" s="16">
        <f>IF(A50="","",A50-$B$17)</f>
        <v/>
      </c>
      <c r="D50" s="16">
        <f>IF(A50="","",ROUND($B$15+$B$25*(A50-$B$17),9))</f>
        <v/>
      </c>
      <c r="E50" s="16">
        <f>IF(A50="","",ROUND(D50-$B$15,9))</f>
        <v/>
      </c>
    </row>
    <row r="51">
      <c r="A51" s="16">
        <f>IF(OR(A50="",A50&gt;=$B$18),"",MIN($B$18,(FLOOR(A50/$B$19+0.000000001,1)+1)*$B$19))</f>
        <v/>
      </c>
      <c r="B51" s="17">
        <f>IF(A51="","",IF(A51&lt;0,"-","")&amp;INT(ABS(A51)/1000)&amp;"+"&amp;TEXT(MOD(ABS(A51),1000),"000.000"))</f>
        <v/>
      </c>
      <c r="C51" s="16">
        <f>IF(A51="","",A51-$B$17)</f>
        <v/>
      </c>
      <c r="D51" s="16">
        <f>IF(A51="","",ROUND($B$15+$B$25*(A51-$B$17),9))</f>
        <v/>
      </c>
      <c r="E51" s="16">
        <f>IF(A51="","",ROUND(D51-$B$15,9))</f>
        <v/>
      </c>
    </row>
    <row r="52">
      <c r="A52" s="16">
        <f>IF(OR(A51="",A51&gt;=$B$18),"",MIN($B$18,(FLOOR(A51/$B$19+0.000000001,1)+1)*$B$19))</f>
        <v/>
      </c>
      <c r="B52" s="17">
        <f>IF(A52="","",IF(A52&lt;0,"-","")&amp;INT(ABS(A52)/1000)&amp;"+"&amp;TEXT(MOD(ABS(A52),1000),"000.000"))</f>
        <v/>
      </c>
      <c r="C52" s="16">
        <f>IF(A52="","",A52-$B$17)</f>
        <v/>
      </c>
      <c r="D52" s="16">
        <f>IF(A52="","",ROUND($B$15+$B$25*(A52-$B$17),9))</f>
        <v/>
      </c>
      <c r="E52" s="16">
        <f>IF(A52="","",ROUND(D52-$B$15,9))</f>
        <v/>
      </c>
    </row>
    <row r="53">
      <c r="A53" s="16">
        <f>IF(OR(A52="",A52&gt;=$B$18),"",MIN($B$18,(FLOOR(A52/$B$19+0.000000001,1)+1)*$B$19))</f>
        <v/>
      </c>
      <c r="B53" s="17">
        <f>IF(A53="","",IF(A53&lt;0,"-","")&amp;INT(ABS(A53)/1000)&amp;"+"&amp;TEXT(MOD(ABS(A53),1000),"000.000"))</f>
        <v/>
      </c>
      <c r="C53" s="16">
        <f>IF(A53="","",A53-$B$17)</f>
        <v/>
      </c>
      <c r="D53" s="16">
        <f>IF(A53="","",ROUND($B$15+$B$25*(A53-$B$17),9))</f>
        <v/>
      </c>
      <c r="E53" s="16">
        <f>IF(A53="","",ROUND(D53-$B$15,9))</f>
        <v/>
      </c>
    </row>
    <row r="54">
      <c r="A54" s="16">
        <f>IF(OR(A53="",A53&gt;=$B$18),"",MIN($B$18,(FLOOR(A53/$B$19+0.000000001,1)+1)*$B$19))</f>
        <v/>
      </c>
      <c r="B54" s="17">
        <f>IF(A54="","",IF(A54&lt;0,"-","")&amp;INT(ABS(A54)/1000)&amp;"+"&amp;TEXT(MOD(ABS(A54),1000),"000.000"))</f>
        <v/>
      </c>
      <c r="C54" s="16">
        <f>IF(A54="","",A54-$B$17)</f>
        <v/>
      </c>
      <c r="D54" s="16">
        <f>IF(A54="","",ROUND($B$15+$B$25*(A54-$B$17),9))</f>
        <v/>
      </c>
      <c r="E54" s="16">
        <f>IF(A54="","",ROUND(D54-$B$15,9))</f>
        <v/>
      </c>
    </row>
    <row r="55">
      <c r="A55" s="16">
        <f>IF(OR(A54="",A54&gt;=$B$18),"",MIN($B$18,(FLOOR(A54/$B$19+0.000000001,1)+1)*$B$19))</f>
        <v/>
      </c>
      <c r="B55" s="17">
        <f>IF(A55="","",IF(A55&lt;0,"-","")&amp;INT(ABS(A55)/1000)&amp;"+"&amp;TEXT(MOD(ABS(A55),1000),"000.000"))</f>
        <v/>
      </c>
      <c r="C55" s="16">
        <f>IF(A55="","",A55-$B$17)</f>
        <v/>
      </c>
      <c r="D55" s="16">
        <f>IF(A55="","",ROUND($B$15+$B$25*(A55-$B$17),9))</f>
        <v/>
      </c>
      <c r="E55" s="16">
        <f>IF(A55="","",ROUND(D55-$B$15,9))</f>
        <v/>
      </c>
    </row>
    <row r="56">
      <c r="A56" s="16">
        <f>IF(OR(A55="",A55&gt;=$B$18),"",MIN($B$18,(FLOOR(A55/$B$19+0.000000001,1)+1)*$B$19))</f>
        <v/>
      </c>
      <c r="B56" s="17">
        <f>IF(A56="","",IF(A56&lt;0,"-","")&amp;INT(ABS(A56)/1000)&amp;"+"&amp;TEXT(MOD(ABS(A56),1000),"000.000"))</f>
        <v/>
      </c>
      <c r="C56" s="16">
        <f>IF(A56="","",A56-$B$17)</f>
        <v/>
      </c>
      <c r="D56" s="16">
        <f>IF(A56="","",ROUND($B$15+$B$25*(A56-$B$17),9))</f>
        <v/>
      </c>
      <c r="E56" s="16">
        <f>IF(A56="","",ROUND(D56-$B$15,9))</f>
        <v/>
      </c>
    </row>
    <row r="57">
      <c r="A57" s="16">
        <f>IF(OR(A56="",A56&gt;=$B$18),"",MIN($B$18,(FLOOR(A56/$B$19+0.000000001,1)+1)*$B$19))</f>
        <v/>
      </c>
      <c r="B57" s="17">
        <f>IF(A57="","",IF(A57&lt;0,"-","")&amp;INT(ABS(A57)/1000)&amp;"+"&amp;TEXT(MOD(ABS(A57),1000),"000.000"))</f>
        <v/>
      </c>
      <c r="C57" s="16">
        <f>IF(A57="","",A57-$B$17)</f>
        <v/>
      </c>
      <c r="D57" s="16">
        <f>IF(A57="","",ROUND($B$15+$B$25*(A57-$B$17),9))</f>
        <v/>
      </c>
      <c r="E57" s="16">
        <f>IF(A57="","",ROUND(D57-$B$15,9))</f>
        <v/>
      </c>
    </row>
    <row r="58">
      <c r="A58" s="16">
        <f>IF(OR(A57="",A57&gt;=$B$18),"",MIN($B$18,(FLOOR(A57/$B$19+0.000000001,1)+1)*$B$19))</f>
        <v/>
      </c>
      <c r="B58" s="17">
        <f>IF(A58="","",IF(A58&lt;0,"-","")&amp;INT(ABS(A58)/1000)&amp;"+"&amp;TEXT(MOD(ABS(A58),1000),"000.000"))</f>
        <v/>
      </c>
      <c r="C58" s="16">
        <f>IF(A58="","",A58-$B$17)</f>
        <v/>
      </c>
      <c r="D58" s="16">
        <f>IF(A58="","",ROUND($B$15+$B$25*(A58-$B$17),9))</f>
        <v/>
      </c>
      <c r="E58" s="16">
        <f>IF(A58="","",ROUND(D58-$B$15,9))</f>
        <v/>
      </c>
    </row>
    <row r="59">
      <c r="A59" s="16">
        <f>IF(OR(A58="",A58&gt;=$B$18),"",MIN($B$18,(FLOOR(A58/$B$19+0.000000001,1)+1)*$B$19))</f>
        <v/>
      </c>
      <c r="B59" s="17">
        <f>IF(A59="","",IF(A59&lt;0,"-","")&amp;INT(ABS(A59)/1000)&amp;"+"&amp;TEXT(MOD(ABS(A59),1000),"000.000"))</f>
        <v/>
      </c>
      <c r="C59" s="16">
        <f>IF(A59="","",A59-$B$17)</f>
        <v/>
      </c>
      <c r="D59" s="16">
        <f>IF(A59="","",ROUND($B$15+$B$25*(A59-$B$17),9))</f>
        <v/>
      </c>
      <c r="E59" s="16">
        <f>IF(A59="","",ROUND(D59-$B$15,9))</f>
        <v/>
      </c>
    </row>
    <row r="60">
      <c r="A60" s="16">
        <f>IF(OR(A59="",A59&gt;=$B$18),"",MIN($B$18,(FLOOR(A59/$B$19+0.000000001,1)+1)*$B$19))</f>
        <v/>
      </c>
      <c r="B60" s="17">
        <f>IF(A60="","",IF(A60&lt;0,"-","")&amp;INT(ABS(A60)/1000)&amp;"+"&amp;TEXT(MOD(ABS(A60),1000),"000.000"))</f>
        <v/>
      </c>
      <c r="C60" s="16">
        <f>IF(A60="","",A60-$B$17)</f>
        <v/>
      </c>
      <c r="D60" s="16">
        <f>IF(A60="","",ROUND($B$15+$B$25*(A60-$B$17),9))</f>
        <v/>
      </c>
      <c r="E60" s="16">
        <f>IF(A60="","",ROUND(D60-$B$15,9))</f>
        <v/>
      </c>
    </row>
    <row r="61">
      <c r="A61" s="16">
        <f>IF(OR(A60="",A60&gt;=$B$18),"",MIN($B$18,(FLOOR(A60/$B$19+0.000000001,1)+1)*$B$19))</f>
        <v/>
      </c>
      <c r="B61" s="17">
        <f>IF(A61="","",IF(A61&lt;0,"-","")&amp;INT(ABS(A61)/1000)&amp;"+"&amp;TEXT(MOD(ABS(A61),1000),"000.000"))</f>
        <v/>
      </c>
      <c r="C61" s="16">
        <f>IF(A61="","",A61-$B$17)</f>
        <v/>
      </c>
      <c r="D61" s="16">
        <f>IF(A61="","",ROUND($B$15+$B$25*(A61-$B$17),9))</f>
        <v/>
      </c>
      <c r="E61" s="16">
        <f>IF(A61="","",ROUND(D61-$B$15,9))</f>
        <v/>
      </c>
    </row>
    <row r="62">
      <c r="A62" s="16">
        <f>IF(OR(A61="",A61&gt;=$B$18),"",MIN($B$18,(FLOOR(A61/$B$19+0.000000001,1)+1)*$B$19))</f>
        <v/>
      </c>
      <c r="B62" s="17">
        <f>IF(A62="","",IF(A62&lt;0,"-","")&amp;INT(ABS(A62)/1000)&amp;"+"&amp;TEXT(MOD(ABS(A62),1000),"000.000"))</f>
        <v/>
      </c>
      <c r="C62" s="16">
        <f>IF(A62="","",A62-$B$17)</f>
        <v/>
      </c>
      <c r="D62" s="16">
        <f>IF(A62="","",ROUND($B$15+$B$25*(A62-$B$17),9))</f>
        <v/>
      </c>
      <c r="E62" s="16">
        <f>IF(A62="","",ROUND(D62-$B$15,9))</f>
        <v/>
      </c>
    </row>
    <row r="63">
      <c r="A63" s="16">
        <f>IF(OR(A62="",A62&gt;=$B$18),"",MIN($B$18,(FLOOR(A62/$B$19+0.000000001,1)+1)*$B$19))</f>
        <v/>
      </c>
      <c r="B63" s="17">
        <f>IF(A63="","",IF(A63&lt;0,"-","")&amp;INT(ABS(A63)/1000)&amp;"+"&amp;TEXT(MOD(ABS(A63),1000),"000.000"))</f>
        <v/>
      </c>
      <c r="C63" s="16">
        <f>IF(A63="","",A63-$B$17)</f>
        <v/>
      </c>
      <c r="D63" s="16">
        <f>IF(A63="","",ROUND($B$15+$B$25*(A63-$B$17),9))</f>
        <v/>
      </c>
      <c r="E63" s="16">
        <f>IF(A63="","",ROUND(D63-$B$15,9))</f>
        <v/>
      </c>
    </row>
    <row r="64">
      <c r="A64" s="16">
        <f>IF(OR(A63="",A63&gt;=$B$18),"",MIN($B$18,(FLOOR(A63/$B$19+0.000000001,1)+1)*$B$19))</f>
        <v/>
      </c>
      <c r="B64" s="17">
        <f>IF(A64="","",IF(A64&lt;0,"-","")&amp;INT(ABS(A64)/1000)&amp;"+"&amp;TEXT(MOD(ABS(A64),1000),"000.000"))</f>
        <v/>
      </c>
      <c r="C64" s="16">
        <f>IF(A64="","",A64-$B$17)</f>
        <v/>
      </c>
      <c r="D64" s="16">
        <f>IF(A64="","",ROUND($B$15+$B$25*(A64-$B$17),9))</f>
        <v/>
      </c>
      <c r="E64" s="16">
        <f>IF(A64="","",ROUND(D64-$B$15,9))</f>
        <v/>
      </c>
    </row>
    <row r="65">
      <c r="A65" s="16">
        <f>IF(OR(A64="",A64&gt;=$B$18),"",MIN($B$18,(FLOOR(A64/$B$19+0.000000001,1)+1)*$B$19))</f>
        <v/>
      </c>
      <c r="B65" s="17">
        <f>IF(A65="","",IF(A65&lt;0,"-","")&amp;INT(ABS(A65)/1000)&amp;"+"&amp;TEXT(MOD(ABS(A65),1000),"000.000"))</f>
        <v/>
      </c>
      <c r="C65" s="16">
        <f>IF(A65="","",A65-$B$17)</f>
        <v/>
      </c>
      <c r="D65" s="16">
        <f>IF(A65="","",ROUND($B$15+$B$25*(A65-$B$17),9))</f>
        <v/>
      </c>
      <c r="E65" s="16">
        <f>IF(A65="","",ROUND(D65-$B$15,9))</f>
        <v/>
      </c>
    </row>
    <row r="66">
      <c r="A66" s="16">
        <f>IF(OR(A65="",A65&gt;=$B$18),"",MIN($B$18,(FLOOR(A65/$B$19+0.000000001,1)+1)*$B$19))</f>
        <v/>
      </c>
      <c r="B66" s="17">
        <f>IF(A66="","",IF(A66&lt;0,"-","")&amp;INT(ABS(A66)/1000)&amp;"+"&amp;TEXT(MOD(ABS(A66),1000),"000.000"))</f>
        <v/>
      </c>
      <c r="C66" s="16">
        <f>IF(A66="","",A66-$B$17)</f>
        <v/>
      </c>
      <c r="D66" s="16">
        <f>IF(A66="","",ROUND($B$15+$B$25*(A66-$B$17),9))</f>
        <v/>
      </c>
      <c r="E66" s="16">
        <f>IF(A66="","",ROUND(D66-$B$15,9))</f>
        <v/>
      </c>
    </row>
    <row r="67">
      <c r="A67" s="16">
        <f>IF(OR(A66="",A66&gt;=$B$18),"",MIN($B$18,(FLOOR(A66/$B$19+0.000000001,1)+1)*$B$19))</f>
        <v/>
      </c>
      <c r="B67" s="17">
        <f>IF(A67="","",IF(A67&lt;0,"-","")&amp;INT(ABS(A67)/1000)&amp;"+"&amp;TEXT(MOD(ABS(A67),1000),"000.000"))</f>
        <v/>
      </c>
      <c r="C67" s="16">
        <f>IF(A67="","",A67-$B$17)</f>
        <v/>
      </c>
      <c r="D67" s="16">
        <f>IF(A67="","",ROUND($B$15+$B$25*(A67-$B$17),9))</f>
        <v/>
      </c>
      <c r="E67" s="16">
        <f>IF(A67="","",ROUND(D67-$B$15,9))</f>
        <v/>
      </c>
    </row>
    <row r="68">
      <c r="A68" s="16">
        <f>IF(OR(A67="",A67&gt;=$B$18),"",MIN($B$18,(FLOOR(A67/$B$19+0.000000001,1)+1)*$B$19))</f>
        <v/>
      </c>
      <c r="B68" s="17">
        <f>IF(A68="","",IF(A68&lt;0,"-","")&amp;INT(ABS(A68)/1000)&amp;"+"&amp;TEXT(MOD(ABS(A68),1000),"000.000"))</f>
        <v/>
      </c>
      <c r="C68" s="16">
        <f>IF(A68="","",A68-$B$17)</f>
        <v/>
      </c>
      <c r="D68" s="16">
        <f>IF(A68="","",ROUND($B$15+$B$25*(A68-$B$17),9))</f>
        <v/>
      </c>
      <c r="E68" s="16">
        <f>IF(A68="","",ROUND(D68-$B$15,9))</f>
        <v/>
      </c>
    </row>
    <row r="69">
      <c r="A69" s="16">
        <f>IF(OR(A68="",A68&gt;=$B$18),"",MIN($B$18,(FLOOR(A68/$B$19+0.000000001,1)+1)*$B$19))</f>
        <v/>
      </c>
      <c r="B69" s="17">
        <f>IF(A69="","",IF(A69&lt;0,"-","")&amp;INT(ABS(A69)/1000)&amp;"+"&amp;TEXT(MOD(ABS(A69),1000),"000.000"))</f>
        <v/>
      </c>
      <c r="C69" s="16">
        <f>IF(A69="","",A69-$B$17)</f>
        <v/>
      </c>
      <c r="D69" s="16">
        <f>IF(A69="","",ROUND($B$15+$B$25*(A69-$B$17),9))</f>
        <v/>
      </c>
      <c r="E69" s="16">
        <f>IF(A69="","",ROUND(D69-$B$15,9))</f>
        <v/>
      </c>
    </row>
    <row r="70">
      <c r="A70" s="16">
        <f>IF(OR(A69="",A69&gt;=$B$18),"",MIN($B$18,(FLOOR(A69/$B$19+0.000000001,1)+1)*$B$19))</f>
        <v/>
      </c>
      <c r="B70" s="17">
        <f>IF(A70="","",IF(A70&lt;0,"-","")&amp;INT(ABS(A70)/1000)&amp;"+"&amp;TEXT(MOD(ABS(A70),1000),"000.000"))</f>
        <v/>
      </c>
      <c r="C70" s="16">
        <f>IF(A70="","",A70-$B$17)</f>
        <v/>
      </c>
      <c r="D70" s="16">
        <f>IF(A70="","",ROUND($B$15+$B$25*(A70-$B$17),9))</f>
        <v/>
      </c>
      <c r="E70" s="16">
        <f>IF(A70="","",ROUND(D70-$B$15,9))</f>
        <v/>
      </c>
    </row>
    <row r="71">
      <c r="A71" s="16">
        <f>IF(OR(A70="",A70&gt;=$B$18),"",MIN($B$18,(FLOOR(A70/$B$19+0.000000001,1)+1)*$B$19))</f>
        <v/>
      </c>
      <c r="B71" s="17">
        <f>IF(A71="","",IF(A71&lt;0,"-","")&amp;INT(ABS(A71)/1000)&amp;"+"&amp;TEXT(MOD(ABS(A71),1000),"000.000"))</f>
        <v/>
      </c>
      <c r="C71" s="16">
        <f>IF(A71="","",A71-$B$17)</f>
        <v/>
      </c>
      <c r="D71" s="16">
        <f>IF(A71="","",ROUND($B$15+$B$25*(A71-$B$17),9))</f>
        <v/>
      </c>
      <c r="E71" s="16">
        <f>IF(A71="","",ROUND(D71-$B$15,9))</f>
        <v/>
      </c>
    </row>
    <row r="72">
      <c r="A72" s="16">
        <f>IF(OR(A71="",A71&gt;=$B$18),"",MIN($B$18,(FLOOR(A71/$B$19+0.000000001,1)+1)*$B$19))</f>
        <v/>
      </c>
      <c r="B72" s="17">
        <f>IF(A72="","",IF(A72&lt;0,"-","")&amp;INT(ABS(A72)/1000)&amp;"+"&amp;TEXT(MOD(ABS(A72),1000),"000.000"))</f>
        <v/>
      </c>
      <c r="C72" s="16">
        <f>IF(A72="","",A72-$B$17)</f>
        <v/>
      </c>
      <c r="D72" s="16">
        <f>IF(A72="","",ROUND($B$15+$B$25*(A72-$B$17),9))</f>
        <v/>
      </c>
      <c r="E72" s="16">
        <f>IF(A72="","",ROUND(D72-$B$15,9))</f>
        <v/>
      </c>
    </row>
    <row r="73">
      <c r="A73" s="16">
        <f>IF(OR(A72="",A72&gt;=$B$18),"",MIN($B$18,(FLOOR(A72/$B$19+0.000000001,1)+1)*$B$19))</f>
        <v/>
      </c>
      <c r="B73" s="17">
        <f>IF(A73="","",IF(A73&lt;0,"-","")&amp;INT(ABS(A73)/1000)&amp;"+"&amp;TEXT(MOD(ABS(A73),1000),"000.000"))</f>
        <v/>
      </c>
      <c r="C73" s="16">
        <f>IF(A73="","",A73-$B$17)</f>
        <v/>
      </c>
      <c r="D73" s="16">
        <f>IF(A73="","",ROUND($B$15+$B$25*(A73-$B$17),9))</f>
        <v/>
      </c>
      <c r="E73" s="16">
        <f>IF(A73="","",ROUND(D73-$B$15,9))</f>
        <v/>
      </c>
    </row>
    <row r="74">
      <c r="A74" s="16">
        <f>IF(OR(A73="",A73&gt;=$B$18),"",MIN($B$18,(FLOOR(A73/$B$19+0.000000001,1)+1)*$B$19))</f>
        <v/>
      </c>
      <c r="B74" s="17">
        <f>IF(A74="","",IF(A74&lt;0,"-","")&amp;INT(ABS(A74)/1000)&amp;"+"&amp;TEXT(MOD(ABS(A74),1000),"000.000"))</f>
        <v/>
      </c>
      <c r="C74" s="16">
        <f>IF(A74="","",A74-$B$17)</f>
        <v/>
      </c>
      <c r="D74" s="16">
        <f>IF(A74="","",ROUND($B$15+$B$25*(A74-$B$17),9))</f>
        <v/>
      </c>
      <c r="E74" s="16">
        <f>IF(A74="","",ROUND(D74-$B$15,9))</f>
        <v/>
      </c>
    </row>
    <row r="75">
      <c r="A75" s="16">
        <f>IF(OR(A74="",A74&gt;=$B$18),"",MIN($B$18,(FLOOR(A74/$B$19+0.000000001,1)+1)*$B$19))</f>
        <v/>
      </c>
      <c r="B75" s="17">
        <f>IF(A75="","",IF(A75&lt;0,"-","")&amp;INT(ABS(A75)/1000)&amp;"+"&amp;TEXT(MOD(ABS(A75),1000),"000.000"))</f>
        <v/>
      </c>
      <c r="C75" s="16">
        <f>IF(A75="","",A75-$B$17)</f>
        <v/>
      </c>
      <c r="D75" s="16">
        <f>IF(A75="","",ROUND($B$15+$B$25*(A75-$B$17),9))</f>
        <v/>
      </c>
      <c r="E75" s="16">
        <f>IF(A75="","",ROUND(D75-$B$15,9))</f>
        <v/>
      </c>
    </row>
    <row r="76">
      <c r="A76" s="16">
        <f>IF(OR(A75="",A75&gt;=$B$18),"",MIN($B$18,(FLOOR(A75/$B$19+0.000000001,1)+1)*$B$19))</f>
        <v/>
      </c>
      <c r="B76" s="17">
        <f>IF(A76="","",IF(A76&lt;0,"-","")&amp;INT(ABS(A76)/1000)&amp;"+"&amp;TEXT(MOD(ABS(A76),1000),"000.000"))</f>
        <v/>
      </c>
      <c r="C76" s="16">
        <f>IF(A76="","",A76-$B$17)</f>
        <v/>
      </c>
      <c r="D76" s="16">
        <f>IF(A76="","",ROUND($B$15+$B$25*(A76-$B$17),9))</f>
        <v/>
      </c>
      <c r="E76" s="16">
        <f>IF(A76="","",ROUND(D76-$B$15,9))</f>
        <v/>
      </c>
    </row>
    <row r="77">
      <c r="A77" s="16">
        <f>IF(OR(A76="",A76&gt;=$B$18),"",MIN($B$18,(FLOOR(A76/$B$19+0.000000001,1)+1)*$B$19))</f>
        <v/>
      </c>
      <c r="B77" s="17">
        <f>IF(A77="","",IF(A77&lt;0,"-","")&amp;INT(ABS(A77)/1000)&amp;"+"&amp;TEXT(MOD(ABS(A77),1000),"000.000"))</f>
        <v/>
      </c>
      <c r="C77" s="16">
        <f>IF(A77="","",A77-$B$17)</f>
        <v/>
      </c>
      <c r="D77" s="16">
        <f>IF(A77="","",ROUND($B$15+$B$25*(A77-$B$17),9))</f>
        <v/>
      </c>
      <c r="E77" s="16">
        <f>IF(A77="","",ROUND(D77-$B$15,9))</f>
        <v/>
      </c>
    </row>
    <row r="78">
      <c r="A78" s="16">
        <f>IF(OR(A77="",A77&gt;=$B$18),"",MIN($B$18,(FLOOR(A77/$B$19+0.000000001,1)+1)*$B$19))</f>
        <v/>
      </c>
      <c r="B78" s="17">
        <f>IF(A78="","",IF(A78&lt;0,"-","")&amp;INT(ABS(A78)/1000)&amp;"+"&amp;TEXT(MOD(ABS(A78),1000),"000.000"))</f>
        <v/>
      </c>
      <c r="C78" s="16">
        <f>IF(A78="","",A78-$B$17)</f>
        <v/>
      </c>
      <c r="D78" s="16">
        <f>IF(A78="","",ROUND($B$15+$B$25*(A78-$B$17),9))</f>
        <v/>
      </c>
      <c r="E78" s="16">
        <f>IF(A78="","",ROUND(D78-$B$15,9))</f>
        <v/>
      </c>
    </row>
    <row r="79">
      <c r="A79" s="16">
        <f>IF(OR(A78="",A78&gt;=$B$18),"",MIN($B$18,(FLOOR(A78/$B$19+0.000000001,1)+1)*$B$19))</f>
        <v/>
      </c>
      <c r="B79" s="17">
        <f>IF(A79="","",IF(A79&lt;0,"-","")&amp;INT(ABS(A79)/1000)&amp;"+"&amp;TEXT(MOD(ABS(A79),1000),"000.000"))</f>
        <v/>
      </c>
      <c r="C79" s="16">
        <f>IF(A79="","",A79-$B$17)</f>
        <v/>
      </c>
      <c r="D79" s="16">
        <f>IF(A79="","",ROUND($B$15+$B$25*(A79-$B$17),9))</f>
        <v/>
      </c>
      <c r="E79" s="16">
        <f>IF(A79="","",ROUND(D79-$B$15,9))</f>
        <v/>
      </c>
    </row>
    <row r="80">
      <c r="A80" s="16">
        <f>IF(OR(A79="",A79&gt;=$B$18),"",MIN($B$18,(FLOOR(A79/$B$19+0.000000001,1)+1)*$B$19))</f>
        <v/>
      </c>
      <c r="B80" s="17">
        <f>IF(A80="","",IF(A80&lt;0,"-","")&amp;INT(ABS(A80)/1000)&amp;"+"&amp;TEXT(MOD(ABS(A80),1000),"000.000"))</f>
        <v/>
      </c>
      <c r="C80" s="16">
        <f>IF(A80="","",A80-$B$17)</f>
        <v/>
      </c>
      <c r="D80" s="16">
        <f>IF(A80="","",ROUND($B$15+$B$25*(A80-$B$17),9))</f>
        <v/>
      </c>
      <c r="E80" s="16">
        <f>IF(A80="","",ROUND(D80-$B$15,9))</f>
        <v/>
      </c>
    </row>
    <row r="81">
      <c r="A81" s="16">
        <f>IF(OR(A80="",A80&gt;=$B$18),"",MIN($B$18,(FLOOR(A80/$B$19+0.000000001,1)+1)*$B$19))</f>
        <v/>
      </c>
      <c r="B81" s="17">
        <f>IF(A81="","",IF(A81&lt;0,"-","")&amp;INT(ABS(A81)/1000)&amp;"+"&amp;TEXT(MOD(ABS(A81),1000),"000.000"))</f>
        <v/>
      </c>
      <c r="C81" s="16">
        <f>IF(A81="","",A81-$B$17)</f>
        <v/>
      </c>
      <c r="D81" s="16">
        <f>IF(A81="","",ROUND($B$15+$B$25*(A81-$B$17),9))</f>
        <v/>
      </c>
      <c r="E81" s="16">
        <f>IF(A81="","",ROUND(D81-$B$15,9))</f>
        <v/>
      </c>
    </row>
    <row r="82">
      <c r="A82" s="16">
        <f>IF(OR(A81="",A81&gt;=$B$18),"",MIN($B$18,(FLOOR(A81/$B$19+0.000000001,1)+1)*$B$19))</f>
        <v/>
      </c>
      <c r="B82" s="17">
        <f>IF(A82="","",IF(A82&lt;0,"-","")&amp;INT(ABS(A82)/1000)&amp;"+"&amp;TEXT(MOD(ABS(A82),1000),"000.000"))</f>
        <v/>
      </c>
      <c r="C82" s="16">
        <f>IF(A82="","",A82-$B$17)</f>
        <v/>
      </c>
      <c r="D82" s="16">
        <f>IF(A82="","",ROUND($B$15+$B$25*(A82-$B$17),9))</f>
        <v/>
      </c>
      <c r="E82" s="16">
        <f>IF(A82="","",ROUND(D82-$B$15,9))</f>
        <v/>
      </c>
    </row>
    <row r="83">
      <c r="A83" s="16">
        <f>IF(OR(A82="",A82&gt;=$B$18),"",MIN($B$18,(FLOOR(A82/$B$19+0.000000001,1)+1)*$B$19))</f>
        <v/>
      </c>
      <c r="B83" s="17">
        <f>IF(A83="","",IF(A83&lt;0,"-","")&amp;INT(ABS(A83)/1000)&amp;"+"&amp;TEXT(MOD(ABS(A83),1000),"000.000"))</f>
        <v/>
      </c>
      <c r="C83" s="16">
        <f>IF(A83="","",A83-$B$17)</f>
        <v/>
      </c>
      <c r="D83" s="16">
        <f>IF(A83="","",ROUND($B$15+$B$25*(A83-$B$17),9))</f>
        <v/>
      </c>
      <c r="E83" s="16">
        <f>IF(A83="","",ROUND(D83-$B$15,9))</f>
        <v/>
      </c>
    </row>
    <row r="84">
      <c r="A84" s="16">
        <f>IF(OR(A83="",A83&gt;=$B$18),"",MIN($B$18,(FLOOR(A83/$B$19+0.000000001,1)+1)*$B$19))</f>
        <v/>
      </c>
      <c r="B84" s="17">
        <f>IF(A84="","",IF(A84&lt;0,"-","")&amp;INT(ABS(A84)/1000)&amp;"+"&amp;TEXT(MOD(ABS(A84),1000),"000.000"))</f>
        <v/>
      </c>
      <c r="C84" s="16">
        <f>IF(A84="","",A84-$B$17)</f>
        <v/>
      </c>
      <c r="D84" s="16">
        <f>IF(A84="","",ROUND($B$15+$B$25*(A84-$B$17),9))</f>
        <v/>
      </c>
      <c r="E84" s="16">
        <f>IF(A84="","",ROUND(D84-$B$15,9))</f>
        <v/>
      </c>
    </row>
    <row r="85">
      <c r="A85" s="16">
        <f>IF(OR(A84="",A84&gt;=$B$18),"",MIN($B$18,(FLOOR(A84/$B$19+0.000000001,1)+1)*$B$19))</f>
        <v/>
      </c>
      <c r="B85" s="17">
        <f>IF(A85="","",IF(A85&lt;0,"-","")&amp;INT(ABS(A85)/1000)&amp;"+"&amp;TEXT(MOD(ABS(A85),1000),"000.000"))</f>
        <v/>
      </c>
      <c r="C85" s="16">
        <f>IF(A85="","",A85-$B$17)</f>
        <v/>
      </c>
      <c r="D85" s="16">
        <f>IF(A85="","",ROUND($B$15+$B$25*(A85-$B$17),9))</f>
        <v/>
      </c>
      <c r="E85" s="16">
        <f>IF(A85="","",ROUND(D85-$B$15,9))</f>
        <v/>
      </c>
    </row>
    <row r="86">
      <c r="A86" s="16">
        <f>IF(OR(A85="",A85&gt;=$B$18),"",MIN($B$18,(FLOOR(A85/$B$19+0.000000001,1)+1)*$B$19))</f>
        <v/>
      </c>
      <c r="B86" s="17">
        <f>IF(A86="","",IF(A86&lt;0,"-","")&amp;INT(ABS(A86)/1000)&amp;"+"&amp;TEXT(MOD(ABS(A86),1000),"000.000"))</f>
        <v/>
      </c>
      <c r="C86" s="16">
        <f>IF(A86="","",A86-$B$17)</f>
        <v/>
      </c>
      <c r="D86" s="16">
        <f>IF(A86="","",ROUND($B$15+$B$25*(A86-$B$17),9))</f>
        <v/>
      </c>
      <c r="E86" s="16">
        <f>IF(A86="","",ROUND(D86-$B$15,9))</f>
        <v/>
      </c>
    </row>
    <row r="87">
      <c r="A87" s="16">
        <f>IF(OR(A86="",A86&gt;=$B$18),"",MIN($B$18,(FLOOR(A86/$B$19+0.000000001,1)+1)*$B$19))</f>
        <v/>
      </c>
      <c r="B87" s="17">
        <f>IF(A87="","",IF(A87&lt;0,"-","")&amp;INT(ABS(A87)/1000)&amp;"+"&amp;TEXT(MOD(ABS(A87),1000),"000.000"))</f>
        <v/>
      </c>
      <c r="C87" s="16">
        <f>IF(A87="","",A87-$B$17)</f>
        <v/>
      </c>
      <c r="D87" s="16">
        <f>IF(A87="","",ROUND($B$15+$B$25*(A87-$B$17),9))</f>
        <v/>
      </c>
      <c r="E87" s="16">
        <f>IF(A87="","",ROUND(D87-$B$15,9))</f>
        <v/>
      </c>
    </row>
    <row r="88">
      <c r="A88" s="16">
        <f>IF(OR(A87="",A87&gt;=$B$18),"",MIN($B$18,(FLOOR(A87/$B$19+0.000000001,1)+1)*$B$19))</f>
        <v/>
      </c>
      <c r="B88" s="17">
        <f>IF(A88="","",IF(A88&lt;0,"-","")&amp;INT(ABS(A88)/1000)&amp;"+"&amp;TEXT(MOD(ABS(A88),1000),"000.000"))</f>
        <v/>
      </c>
      <c r="C88" s="16">
        <f>IF(A88="","",A88-$B$17)</f>
        <v/>
      </c>
      <c r="D88" s="16">
        <f>IF(A88="","",ROUND($B$15+$B$25*(A88-$B$17),9))</f>
        <v/>
      </c>
      <c r="E88" s="16">
        <f>IF(A88="","",ROUND(D88-$B$15,9))</f>
        <v/>
      </c>
    </row>
    <row r="89">
      <c r="A89" s="16">
        <f>IF(OR(A88="",A88&gt;=$B$18),"",MIN($B$18,(FLOOR(A88/$B$19+0.000000001,1)+1)*$B$19))</f>
        <v/>
      </c>
      <c r="B89" s="17">
        <f>IF(A89="","",IF(A89&lt;0,"-","")&amp;INT(ABS(A89)/1000)&amp;"+"&amp;TEXT(MOD(ABS(A89),1000),"000.000"))</f>
        <v/>
      </c>
      <c r="C89" s="16">
        <f>IF(A89="","",A89-$B$17)</f>
        <v/>
      </c>
      <c r="D89" s="16">
        <f>IF(A89="","",ROUND($B$15+$B$25*(A89-$B$17),9))</f>
        <v/>
      </c>
      <c r="E89" s="16">
        <f>IF(A89="","",ROUND(D89-$B$15,9))</f>
        <v/>
      </c>
    </row>
    <row r="90">
      <c r="A90" s="16">
        <f>IF(OR(A89="",A89&gt;=$B$18),"",MIN($B$18,(FLOOR(A89/$B$19+0.000000001,1)+1)*$B$19))</f>
        <v/>
      </c>
      <c r="B90" s="17">
        <f>IF(A90="","",IF(A90&lt;0,"-","")&amp;INT(ABS(A90)/1000)&amp;"+"&amp;TEXT(MOD(ABS(A90),1000),"000.000"))</f>
        <v/>
      </c>
      <c r="C90" s="16">
        <f>IF(A90="","",A90-$B$17)</f>
        <v/>
      </c>
      <c r="D90" s="16">
        <f>IF(A90="","",ROUND($B$15+$B$25*(A90-$B$17),9))</f>
        <v/>
      </c>
      <c r="E90" s="16">
        <f>IF(A90="","",ROUND(D90-$B$15,9))</f>
        <v/>
      </c>
    </row>
    <row r="91">
      <c r="A91" s="16">
        <f>IF(OR(A90="",A90&gt;=$B$18),"",MIN($B$18,(FLOOR(A90/$B$19+0.000000001,1)+1)*$B$19))</f>
        <v/>
      </c>
      <c r="B91" s="17">
        <f>IF(A91="","",IF(A91&lt;0,"-","")&amp;INT(ABS(A91)/1000)&amp;"+"&amp;TEXT(MOD(ABS(A91),1000),"000.000"))</f>
        <v/>
      </c>
      <c r="C91" s="16">
        <f>IF(A91="","",A91-$B$17)</f>
        <v/>
      </c>
      <c r="D91" s="16">
        <f>IF(A91="","",ROUND($B$15+$B$25*(A91-$B$17),9))</f>
        <v/>
      </c>
      <c r="E91" s="16">
        <f>IF(A91="","",ROUND(D91-$B$15,9))</f>
        <v/>
      </c>
    </row>
    <row r="92">
      <c r="A92" s="16">
        <f>IF(OR(A91="",A91&gt;=$B$18),"",MIN($B$18,(FLOOR(A91/$B$19+0.000000001,1)+1)*$B$19))</f>
        <v/>
      </c>
      <c r="B92" s="17">
        <f>IF(A92="","",IF(A92&lt;0,"-","")&amp;INT(ABS(A92)/1000)&amp;"+"&amp;TEXT(MOD(ABS(A92),1000),"000.000"))</f>
        <v/>
      </c>
      <c r="C92" s="16">
        <f>IF(A92="","",A92-$B$17)</f>
        <v/>
      </c>
      <c r="D92" s="16">
        <f>IF(A92="","",ROUND($B$15+$B$25*(A92-$B$17),9))</f>
        <v/>
      </c>
      <c r="E92" s="16">
        <f>IF(A92="","",ROUND(D92-$B$15,9))</f>
        <v/>
      </c>
    </row>
    <row r="93">
      <c r="A93" s="16">
        <f>IF(OR(A92="",A92&gt;=$B$18),"",MIN($B$18,(FLOOR(A92/$B$19+0.000000001,1)+1)*$B$19))</f>
        <v/>
      </c>
      <c r="B93" s="17">
        <f>IF(A93="","",IF(A93&lt;0,"-","")&amp;INT(ABS(A93)/1000)&amp;"+"&amp;TEXT(MOD(ABS(A93),1000),"000.000"))</f>
        <v/>
      </c>
      <c r="C93" s="16">
        <f>IF(A93="","",A93-$B$17)</f>
        <v/>
      </c>
      <c r="D93" s="16">
        <f>IF(A93="","",ROUND($B$15+$B$25*(A93-$B$17),9))</f>
        <v/>
      </c>
      <c r="E93" s="16">
        <f>IF(A93="","",ROUND(D93-$B$15,9))</f>
        <v/>
      </c>
    </row>
    <row r="94">
      <c r="A94" s="16">
        <f>IF(OR(A93="",A93&gt;=$B$18),"",MIN($B$18,(FLOOR(A93/$B$19+0.000000001,1)+1)*$B$19))</f>
        <v/>
      </c>
      <c r="B94" s="17">
        <f>IF(A94="","",IF(A94&lt;0,"-","")&amp;INT(ABS(A94)/1000)&amp;"+"&amp;TEXT(MOD(ABS(A94),1000),"000.000"))</f>
        <v/>
      </c>
      <c r="C94" s="16">
        <f>IF(A94="","",A94-$B$17)</f>
        <v/>
      </c>
      <c r="D94" s="16">
        <f>IF(A94="","",ROUND($B$15+$B$25*(A94-$B$17),9))</f>
        <v/>
      </c>
      <c r="E94" s="16">
        <f>IF(A94="","",ROUND(D94-$B$15,9))</f>
        <v/>
      </c>
    </row>
    <row r="95">
      <c r="A95" s="16">
        <f>IF(OR(A94="",A94&gt;=$B$18),"",MIN($B$18,(FLOOR(A94/$B$19+0.000000001,1)+1)*$B$19))</f>
        <v/>
      </c>
      <c r="B95" s="17">
        <f>IF(A95="","",IF(A95&lt;0,"-","")&amp;INT(ABS(A95)/1000)&amp;"+"&amp;TEXT(MOD(ABS(A95),1000),"000.000"))</f>
        <v/>
      </c>
      <c r="C95" s="16">
        <f>IF(A95="","",A95-$B$17)</f>
        <v/>
      </c>
      <c r="D95" s="16">
        <f>IF(A95="","",ROUND($B$15+$B$25*(A95-$B$17),9))</f>
        <v/>
      </c>
      <c r="E95" s="16">
        <f>IF(A95="","",ROUND(D95-$B$15,9))</f>
        <v/>
      </c>
    </row>
    <row r="96">
      <c r="A96" s="16">
        <f>IF(OR(A95="",A95&gt;=$B$18),"",MIN($B$18,(FLOOR(A95/$B$19+0.000000001,1)+1)*$B$19))</f>
        <v/>
      </c>
      <c r="B96" s="17">
        <f>IF(A96="","",IF(A96&lt;0,"-","")&amp;INT(ABS(A96)/1000)&amp;"+"&amp;TEXT(MOD(ABS(A96),1000),"000.000"))</f>
        <v/>
      </c>
      <c r="C96" s="16">
        <f>IF(A96="","",A96-$B$17)</f>
        <v/>
      </c>
      <c r="D96" s="16">
        <f>IF(A96="","",ROUND($B$15+$B$25*(A96-$B$17),9))</f>
        <v/>
      </c>
      <c r="E96" s="16">
        <f>IF(A96="","",ROUND(D96-$B$15,9))</f>
        <v/>
      </c>
    </row>
    <row r="97">
      <c r="A97" s="16">
        <f>IF(OR(A96="",A96&gt;=$B$18),"",MIN($B$18,(FLOOR(A96/$B$19+0.000000001,1)+1)*$B$19))</f>
        <v/>
      </c>
      <c r="B97" s="17">
        <f>IF(A97="","",IF(A97&lt;0,"-","")&amp;INT(ABS(A97)/1000)&amp;"+"&amp;TEXT(MOD(ABS(A97),1000),"000.000"))</f>
        <v/>
      </c>
      <c r="C97" s="16">
        <f>IF(A97="","",A97-$B$17)</f>
        <v/>
      </c>
      <c r="D97" s="16">
        <f>IF(A97="","",ROUND($B$15+$B$25*(A97-$B$17),9))</f>
        <v/>
      </c>
      <c r="E97" s="16">
        <f>IF(A97="","",ROUND(D97-$B$15,9))</f>
        <v/>
      </c>
    </row>
    <row r="98">
      <c r="A98" s="16">
        <f>IF(OR(A97="",A97&gt;=$B$18),"",MIN($B$18,(FLOOR(A97/$B$19+0.000000001,1)+1)*$B$19))</f>
        <v/>
      </c>
      <c r="B98" s="17">
        <f>IF(A98="","",IF(A98&lt;0,"-","")&amp;INT(ABS(A98)/1000)&amp;"+"&amp;TEXT(MOD(ABS(A98),1000),"000.000"))</f>
        <v/>
      </c>
      <c r="C98" s="16">
        <f>IF(A98="","",A98-$B$17)</f>
        <v/>
      </c>
      <c r="D98" s="16">
        <f>IF(A98="","",ROUND($B$15+$B$25*(A98-$B$17),9))</f>
        <v/>
      </c>
      <c r="E98" s="16">
        <f>IF(A98="","",ROUND(D98-$B$15,9))</f>
        <v/>
      </c>
    </row>
    <row r="99">
      <c r="A99" s="16">
        <f>IF(OR(A98="",A98&gt;=$B$18),"",MIN($B$18,(FLOOR(A98/$B$19+0.000000001,1)+1)*$B$19))</f>
        <v/>
      </c>
      <c r="B99" s="17">
        <f>IF(A99="","",IF(A99&lt;0,"-","")&amp;INT(ABS(A99)/1000)&amp;"+"&amp;TEXT(MOD(ABS(A99),1000),"000.000"))</f>
        <v/>
      </c>
      <c r="C99" s="16">
        <f>IF(A99="","",A99-$B$17)</f>
        <v/>
      </c>
      <c r="D99" s="16">
        <f>IF(A99="","",ROUND($B$15+$B$25*(A99-$B$17),9))</f>
        <v/>
      </c>
      <c r="E99" s="16">
        <f>IF(A99="","",ROUND(D99-$B$15,9))</f>
        <v/>
      </c>
    </row>
    <row r="100">
      <c r="A100" s="16">
        <f>IF(OR(A99="",A99&gt;=$B$18),"",MIN($B$18,(FLOOR(A99/$B$19+0.000000001,1)+1)*$B$19))</f>
        <v/>
      </c>
      <c r="B100" s="17">
        <f>IF(A100="","",IF(A100&lt;0,"-","")&amp;INT(ABS(A100)/1000)&amp;"+"&amp;TEXT(MOD(ABS(A100),1000),"000.000"))</f>
        <v/>
      </c>
      <c r="C100" s="16">
        <f>IF(A100="","",A100-$B$17)</f>
        <v/>
      </c>
      <c r="D100" s="16">
        <f>IF(A100="","",ROUND($B$15+$B$25*(A100-$B$17),9))</f>
        <v/>
      </c>
      <c r="E100" s="16">
        <f>IF(A100="","",ROUND(D100-$B$15,9))</f>
        <v/>
      </c>
    </row>
    <row r="101">
      <c r="A101" s="16">
        <f>IF(OR(A100="",A100&gt;=$B$18),"",MIN($B$18,(FLOOR(A100/$B$19+0.000000001,1)+1)*$B$19))</f>
        <v/>
      </c>
      <c r="B101" s="17">
        <f>IF(A101="","",IF(A101&lt;0,"-","")&amp;INT(ABS(A101)/1000)&amp;"+"&amp;TEXT(MOD(ABS(A101),1000),"000.000"))</f>
        <v/>
      </c>
      <c r="C101" s="16">
        <f>IF(A101="","",A101-$B$17)</f>
        <v/>
      </c>
      <c r="D101" s="16">
        <f>IF(A101="","",ROUND($B$15+$B$25*(A101-$B$17),9))</f>
        <v/>
      </c>
      <c r="E101" s="16">
        <f>IF(A101="","",ROUND(D101-$B$15,9))</f>
        <v/>
      </c>
    </row>
    <row r="102">
      <c r="A102" s="16">
        <f>IF(OR(A101="",A101&gt;=$B$18),"",MIN($B$18,(FLOOR(A101/$B$19+0.000000001,1)+1)*$B$19))</f>
        <v/>
      </c>
      <c r="B102" s="17">
        <f>IF(A102="","",IF(A102&lt;0,"-","")&amp;INT(ABS(A102)/1000)&amp;"+"&amp;TEXT(MOD(ABS(A102),1000),"000.000"))</f>
        <v/>
      </c>
      <c r="C102" s="16">
        <f>IF(A102="","",A102-$B$17)</f>
        <v/>
      </c>
      <c r="D102" s="16">
        <f>IF(A102="","",ROUND($B$15+$B$25*(A102-$B$17),9))</f>
        <v/>
      </c>
      <c r="E102" s="16">
        <f>IF(A102="","",ROUND(D102-$B$15,9))</f>
        <v/>
      </c>
    </row>
    <row r="103">
      <c r="A103" s="16">
        <f>IF(OR(A102="",A102&gt;=$B$18),"",MIN($B$18,(FLOOR(A102/$B$19+0.000000001,1)+1)*$B$19))</f>
        <v/>
      </c>
      <c r="B103" s="17">
        <f>IF(A103="","",IF(A103&lt;0,"-","")&amp;INT(ABS(A103)/1000)&amp;"+"&amp;TEXT(MOD(ABS(A103),1000),"000.000"))</f>
        <v/>
      </c>
      <c r="C103" s="16">
        <f>IF(A103="","",A103-$B$17)</f>
        <v/>
      </c>
      <c r="D103" s="16">
        <f>IF(A103="","",ROUND($B$15+$B$25*(A103-$B$17),9))</f>
        <v/>
      </c>
      <c r="E103" s="16">
        <f>IF(A103="","",ROUND(D103-$B$15,9))</f>
        <v/>
      </c>
    </row>
    <row r="104">
      <c r="A104" s="16">
        <f>IF(OR(A103="",A103&gt;=$B$18),"",MIN($B$18,(FLOOR(A103/$B$19+0.000000001,1)+1)*$B$19))</f>
        <v/>
      </c>
      <c r="B104" s="17">
        <f>IF(A104="","",IF(A104&lt;0,"-","")&amp;INT(ABS(A104)/1000)&amp;"+"&amp;TEXT(MOD(ABS(A104),1000),"000.000"))</f>
        <v/>
      </c>
      <c r="C104" s="16">
        <f>IF(A104="","",A104-$B$17)</f>
        <v/>
      </c>
      <c r="D104" s="16">
        <f>IF(A104="","",ROUND($B$15+$B$25*(A104-$B$17),9))</f>
        <v/>
      </c>
      <c r="E104" s="16">
        <f>IF(A104="","",ROUND(D104-$B$15,9))</f>
        <v/>
      </c>
    </row>
    <row r="105">
      <c r="A105" s="16">
        <f>IF(OR(A104="",A104&gt;=$B$18),"",MIN($B$18,(FLOOR(A104/$B$19+0.000000001,1)+1)*$B$19))</f>
        <v/>
      </c>
      <c r="B105" s="17">
        <f>IF(A105="","",IF(A105&lt;0,"-","")&amp;INT(ABS(A105)/1000)&amp;"+"&amp;TEXT(MOD(ABS(A105),1000),"000.000"))</f>
        <v/>
      </c>
      <c r="C105" s="16">
        <f>IF(A105="","",A105-$B$17)</f>
        <v/>
      </c>
      <c r="D105" s="16">
        <f>IF(A105="","",ROUND($B$15+$B$25*(A105-$B$17),9))</f>
        <v/>
      </c>
      <c r="E105" s="16">
        <f>IF(A105="","",ROUND(D105-$B$15,9))</f>
        <v/>
      </c>
    </row>
    <row r="106">
      <c r="A106" s="16">
        <f>IF(OR(A105="",A105&gt;=$B$18),"",MIN($B$18,(FLOOR(A105/$B$19+0.000000001,1)+1)*$B$19))</f>
        <v/>
      </c>
      <c r="B106" s="17">
        <f>IF(A106="","",IF(A106&lt;0,"-","")&amp;INT(ABS(A106)/1000)&amp;"+"&amp;TEXT(MOD(ABS(A106),1000),"000.000"))</f>
        <v/>
      </c>
      <c r="C106" s="16">
        <f>IF(A106="","",A106-$B$17)</f>
        <v/>
      </c>
      <c r="D106" s="16">
        <f>IF(A106="","",ROUND($B$15+$B$25*(A106-$B$17),9))</f>
        <v/>
      </c>
      <c r="E106" s="16">
        <f>IF(A106="","",ROUND(D106-$B$15,9))</f>
        <v/>
      </c>
    </row>
    <row r="107">
      <c r="A107" s="16">
        <f>IF(OR(A106="",A106&gt;=$B$18),"",MIN($B$18,(FLOOR(A106/$B$19+0.000000001,1)+1)*$B$19))</f>
        <v/>
      </c>
      <c r="B107" s="17">
        <f>IF(A107="","",IF(A107&lt;0,"-","")&amp;INT(ABS(A107)/1000)&amp;"+"&amp;TEXT(MOD(ABS(A107),1000),"000.000"))</f>
        <v/>
      </c>
      <c r="C107" s="16">
        <f>IF(A107="","",A107-$B$17)</f>
        <v/>
      </c>
      <c r="D107" s="16">
        <f>IF(A107="","",ROUND($B$15+$B$25*(A107-$B$17),9))</f>
        <v/>
      </c>
      <c r="E107" s="16">
        <f>IF(A107="","",ROUND(D107-$B$15,9))</f>
        <v/>
      </c>
    </row>
    <row r="108">
      <c r="A108" s="16">
        <f>IF(OR(A107="",A107&gt;=$B$18),"",MIN($B$18,(FLOOR(A107/$B$19+0.000000001,1)+1)*$B$19))</f>
        <v/>
      </c>
      <c r="B108" s="17">
        <f>IF(A108="","",IF(A108&lt;0,"-","")&amp;INT(ABS(A108)/1000)&amp;"+"&amp;TEXT(MOD(ABS(A108),1000),"000.000"))</f>
        <v/>
      </c>
      <c r="C108" s="16">
        <f>IF(A108="","",A108-$B$17)</f>
        <v/>
      </c>
      <c r="D108" s="16">
        <f>IF(A108="","",ROUND($B$15+$B$25*(A108-$B$17),9))</f>
        <v/>
      </c>
      <c r="E108" s="16">
        <f>IF(A108="","",ROUND(D108-$B$15,9))</f>
        <v/>
      </c>
    </row>
    <row r="109">
      <c r="A109" s="16">
        <f>IF(OR(A108="",A108&gt;=$B$18),"",MIN($B$18,(FLOOR(A108/$B$19+0.000000001,1)+1)*$B$19))</f>
        <v/>
      </c>
      <c r="B109" s="17">
        <f>IF(A109="","",IF(A109&lt;0,"-","")&amp;INT(ABS(A109)/1000)&amp;"+"&amp;TEXT(MOD(ABS(A109),1000),"000.000"))</f>
        <v/>
      </c>
      <c r="C109" s="16">
        <f>IF(A109="","",A109-$B$17)</f>
        <v/>
      </c>
      <c r="D109" s="16">
        <f>IF(A109="","",ROUND($B$15+$B$25*(A109-$B$17),9))</f>
        <v/>
      </c>
      <c r="E109" s="16">
        <f>IF(A109="","",ROUND(D109-$B$15,9))</f>
        <v/>
      </c>
    </row>
    <row r="110">
      <c r="A110" s="16">
        <f>IF(OR(A109="",A109&gt;=$B$18),"",MIN($B$18,(FLOOR(A109/$B$19+0.000000001,1)+1)*$B$19))</f>
        <v/>
      </c>
      <c r="B110" s="17">
        <f>IF(A110="","",IF(A110&lt;0,"-","")&amp;INT(ABS(A110)/1000)&amp;"+"&amp;TEXT(MOD(ABS(A110),1000),"000.000"))</f>
        <v/>
      </c>
      <c r="C110" s="16">
        <f>IF(A110="","",A110-$B$17)</f>
        <v/>
      </c>
      <c r="D110" s="16">
        <f>IF(A110="","",ROUND($B$15+$B$25*(A110-$B$17),9))</f>
        <v/>
      </c>
      <c r="E110" s="16">
        <f>IF(A110="","",ROUND(D110-$B$15,9))</f>
        <v/>
      </c>
    </row>
    <row r="111">
      <c r="A111" s="16">
        <f>IF(OR(A110="",A110&gt;=$B$18),"",MIN($B$18,(FLOOR(A110/$B$19+0.000000001,1)+1)*$B$19))</f>
        <v/>
      </c>
      <c r="B111" s="17">
        <f>IF(A111="","",IF(A111&lt;0,"-","")&amp;INT(ABS(A111)/1000)&amp;"+"&amp;TEXT(MOD(ABS(A111),1000),"000.000"))</f>
        <v/>
      </c>
      <c r="C111" s="16">
        <f>IF(A111="","",A111-$B$17)</f>
        <v/>
      </c>
      <c r="D111" s="16">
        <f>IF(A111="","",ROUND($B$15+$B$25*(A111-$B$17),9))</f>
        <v/>
      </c>
      <c r="E111" s="16">
        <f>IF(A111="","",ROUND(D111-$B$15,9))</f>
        <v/>
      </c>
    </row>
    <row r="112">
      <c r="A112" s="16">
        <f>IF(OR(A111="",A111&gt;=$B$18),"",MIN($B$18,(FLOOR(A111/$B$19+0.000000001,1)+1)*$B$19))</f>
        <v/>
      </c>
      <c r="B112" s="17">
        <f>IF(A112="","",IF(A112&lt;0,"-","")&amp;INT(ABS(A112)/1000)&amp;"+"&amp;TEXT(MOD(ABS(A112),1000),"000.000"))</f>
        <v/>
      </c>
      <c r="C112" s="16">
        <f>IF(A112="","",A112-$B$17)</f>
        <v/>
      </c>
      <c r="D112" s="16">
        <f>IF(A112="","",ROUND($B$15+$B$25*(A112-$B$17),9))</f>
        <v/>
      </c>
      <c r="E112" s="16">
        <f>IF(A112="","",ROUND(D112-$B$15,9))</f>
        <v/>
      </c>
    </row>
    <row r="113">
      <c r="A113" s="16">
        <f>IF(OR(A112="",A112&gt;=$B$18),"",MIN($B$18,(FLOOR(A112/$B$19+0.000000001,1)+1)*$B$19))</f>
        <v/>
      </c>
      <c r="B113" s="17">
        <f>IF(A113="","",IF(A113&lt;0,"-","")&amp;INT(ABS(A113)/1000)&amp;"+"&amp;TEXT(MOD(ABS(A113),1000),"000.000"))</f>
        <v/>
      </c>
      <c r="C113" s="16">
        <f>IF(A113="","",A113-$B$17)</f>
        <v/>
      </c>
      <c r="D113" s="16">
        <f>IF(A113="","",ROUND($B$15+$B$25*(A113-$B$17),9))</f>
        <v/>
      </c>
      <c r="E113" s="16">
        <f>IF(A113="","",ROUND(D113-$B$15,9))</f>
        <v/>
      </c>
    </row>
    <row r="114">
      <c r="A114" s="16">
        <f>IF(OR(A113="",A113&gt;=$B$18),"",MIN($B$18,(FLOOR(A113/$B$19+0.000000001,1)+1)*$B$19))</f>
        <v/>
      </c>
      <c r="B114" s="17">
        <f>IF(A114="","",IF(A114&lt;0,"-","")&amp;INT(ABS(A114)/1000)&amp;"+"&amp;TEXT(MOD(ABS(A114),1000),"000.000"))</f>
        <v/>
      </c>
      <c r="C114" s="16">
        <f>IF(A114="","",A114-$B$17)</f>
        <v/>
      </c>
      <c r="D114" s="16">
        <f>IF(A114="","",ROUND($B$15+$B$25*(A114-$B$17),9))</f>
        <v/>
      </c>
      <c r="E114" s="16">
        <f>IF(A114="","",ROUND(D114-$B$15,9))</f>
        <v/>
      </c>
    </row>
    <row r="115">
      <c r="A115" s="16">
        <f>IF(OR(A114="",A114&gt;=$B$18),"",MIN($B$18,(FLOOR(A114/$B$19+0.000000001,1)+1)*$B$19))</f>
        <v/>
      </c>
      <c r="B115" s="17">
        <f>IF(A115="","",IF(A115&lt;0,"-","")&amp;INT(ABS(A115)/1000)&amp;"+"&amp;TEXT(MOD(ABS(A115),1000),"000.000"))</f>
        <v/>
      </c>
      <c r="C115" s="16">
        <f>IF(A115="","",A115-$B$17)</f>
        <v/>
      </c>
      <c r="D115" s="16">
        <f>IF(A115="","",ROUND($B$15+$B$25*(A115-$B$17),9))</f>
        <v/>
      </c>
      <c r="E115" s="16">
        <f>IF(A115="","",ROUND(D115-$B$15,9))</f>
        <v/>
      </c>
    </row>
    <row r="116">
      <c r="A116" s="16">
        <f>IF(OR(A115="",A115&gt;=$B$18),"",MIN($B$18,(FLOOR(A115/$B$19+0.000000001,1)+1)*$B$19))</f>
        <v/>
      </c>
      <c r="B116" s="17">
        <f>IF(A116="","",IF(A116&lt;0,"-","")&amp;INT(ABS(A116)/1000)&amp;"+"&amp;TEXT(MOD(ABS(A116),1000),"000.000"))</f>
        <v/>
      </c>
      <c r="C116" s="16">
        <f>IF(A116="","",A116-$B$17)</f>
        <v/>
      </c>
      <c r="D116" s="16">
        <f>IF(A116="","",ROUND($B$15+$B$25*(A116-$B$17),9))</f>
        <v/>
      </c>
      <c r="E116" s="16">
        <f>IF(A116="","",ROUND(D116-$B$15,9))</f>
        <v/>
      </c>
    </row>
    <row r="117">
      <c r="A117" s="16">
        <f>IF(OR(A116="",A116&gt;=$B$18),"",MIN($B$18,(FLOOR(A116/$B$19+0.000000001,1)+1)*$B$19))</f>
        <v/>
      </c>
      <c r="B117" s="17">
        <f>IF(A117="","",IF(A117&lt;0,"-","")&amp;INT(ABS(A117)/1000)&amp;"+"&amp;TEXT(MOD(ABS(A117),1000),"000.000"))</f>
        <v/>
      </c>
      <c r="C117" s="16">
        <f>IF(A117="","",A117-$B$17)</f>
        <v/>
      </c>
      <c r="D117" s="16">
        <f>IF(A117="","",ROUND($B$15+$B$25*(A117-$B$17),9))</f>
        <v/>
      </c>
      <c r="E117" s="16">
        <f>IF(A117="","",ROUND(D117-$B$15,9))</f>
        <v/>
      </c>
    </row>
    <row r="118">
      <c r="A118" s="16">
        <f>IF(OR(A117="",A117&gt;=$B$18),"",MIN($B$18,(FLOOR(A117/$B$19+0.000000001,1)+1)*$B$19))</f>
        <v/>
      </c>
      <c r="B118" s="17">
        <f>IF(A118="","",IF(A118&lt;0,"-","")&amp;INT(ABS(A118)/1000)&amp;"+"&amp;TEXT(MOD(ABS(A118),1000),"000.000"))</f>
        <v/>
      </c>
      <c r="C118" s="16">
        <f>IF(A118="","",A118-$B$17)</f>
        <v/>
      </c>
      <c r="D118" s="16">
        <f>IF(A118="","",ROUND($B$15+$B$25*(A118-$B$17),9))</f>
        <v/>
      </c>
      <c r="E118" s="16">
        <f>IF(A118="","",ROUND(D118-$B$15,9))</f>
        <v/>
      </c>
    </row>
    <row r="119">
      <c r="A119" s="16">
        <f>IF(OR(A118="",A118&gt;=$B$18),"",MIN($B$18,(FLOOR(A118/$B$19+0.000000001,1)+1)*$B$19))</f>
        <v/>
      </c>
      <c r="B119" s="17">
        <f>IF(A119="","",IF(A119&lt;0,"-","")&amp;INT(ABS(A119)/1000)&amp;"+"&amp;TEXT(MOD(ABS(A119),1000),"000.000"))</f>
        <v/>
      </c>
      <c r="C119" s="16">
        <f>IF(A119="","",A119-$B$17)</f>
        <v/>
      </c>
      <c r="D119" s="16">
        <f>IF(A119="","",ROUND($B$15+$B$25*(A119-$B$17),9))</f>
        <v/>
      </c>
      <c r="E119" s="16">
        <f>IF(A119="","",ROUND(D119-$B$15,9))</f>
        <v/>
      </c>
    </row>
    <row r="120">
      <c r="A120" s="16">
        <f>IF(OR(A119="",A119&gt;=$B$18),"",MIN($B$18,(FLOOR(A119/$B$19+0.000000001,1)+1)*$B$19))</f>
        <v/>
      </c>
      <c r="B120" s="17">
        <f>IF(A120="","",IF(A120&lt;0,"-","")&amp;INT(ABS(A120)/1000)&amp;"+"&amp;TEXT(MOD(ABS(A120),1000),"000.000"))</f>
        <v/>
      </c>
      <c r="C120" s="16">
        <f>IF(A120="","",A120-$B$17)</f>
        <v/>
      </c>
      <c r="D120" s="16">
        <f>IF(A120="","",ROUND($B$15+$B$25*(A120-$B$17),9))</f>
        <v/>
      </c>
      <c r="E120" s="16">
        <f>IF(A120="","",ROUND(D120-$B$15,9))</f>
        <v/>
      </c>
    </row>
    <row r="121">
      <c r="A121" s="16">
        <f>IF(OR(A120="",A120&gt;=$B$18),"",MIN($B$18,(FLOOR(A120/$B$19+0.000000001,1)+1)*$B$19))</f>
        <v/>
      </c>
      <c r="B121" s="17">
        <f>IF(A121="","",IF(A121&lt;0,"-","")&amp;INT(ABS(A121)/1000)&amp;"+"&amp;TEXT(MOD(ABS(A121),1000),"000.000"))</f>
        <v/>
      </c>
      <c r="C121" s="16">
        <f>IF(A121="","",A121-$B$17)</f>
        <v/>
      </c>
      <c r="D121" s="16">
        <f>IF(A121="","",ROUND($B$15+$B$25*(A121-$B$17),9))</f>
        <v/>
      </c>
      <c r="E121" s="16">
        <f>IF(A121="","",ROUND(D121-$B$15,9))</f>
        <v/>
      </c>
    </row>
    <row r="122">
      <c r="A122" s="16">
        <f>IF(OR(A121="",A121&gt;=$B$18),"",MIN($B$18,(FLOOR(A121/$B$19+0.000000001,1)+1)*$B$19))</f>
        <v/>
      </c>
      <c r="B122" s="17">
        <f>IF(A122="","",IF(A122&lt;0,"-","")&amp;INT(ABS(A122)/1000)&amp;"+"&amp;TEXT(MOD(ABS(A122),1000),"000.000"))</f>
        <v/>
      </c>
      <c r="C122" s="16">
        <f>IF(A122="","",A122-$B$17)</f>
        <v/>
      </c>
      <c r="D122" s="16">
        <f>IF(A122="","",ROUND($B$15+$B$25*(A122-$B$17),9))</f>
        <v/>
      </c>
      <c r="E122" s="16">
        <f>IF(A122="","",ROUND(D122-$B$15,9))</f>
        <v/>
      </c>
    </row>
    <row r="123">
      <c r="A123" s="16">
        <f>IF(OR(A122="",A122&gt;=$B$18),"",MIN($B$18,(FLOOR(A122/$B$19+0.000000001,1)+1)*$B$19))</f>
        <v/>
      </c>
      <c r="B123" s="17">
        <f>IF(A123="","",IF(A123&lt;0,"-","")&amp;INT(ABS(A123)/1000)&amp;"+"&amp;TEXT(MOD(ABS(A123),1000),"000.000"))</f>
        <v/>
      </c>
      <c r="C123" s="16">
        <f>IF(A123="","",A123-$B$17)</f>
        <v/>
      </c>
      <c r="D123" s="16">
        <f>IF(A123="","",ROUND($B$15+$B$25*(A123-$B$17),9))</f>
        <v/>
      </c>
      <c r="E123" s="16">
        <f>IF(A123="","",ROUND(D123-$B$15,9))</f>
        <v/>
      </c>
    </row>
    <row r="124">
      <c r="A124" s="16">
        <f>IF(OR(A123="",A123&gt;=$B$18),"",MIN($B$18,(FLOOR(A123/$B$19+0.000000001,1)+1)*$B$19))</f>
        <v/>
      </c>
      <c r="B124" s="17">
        <f>IF(A124="","",IF(A124&lt;0,"-","")&amp;INT(ABS(A124)/1000)&amp;"+"&amp;TEXT(MOD(ABS(A124),1000),"000.000"))</f>
        <v/>
      </c>
      <c r="C124" s="16">
        <f>IF(A124="","",A124-$B$17)</f>
        <v/>
      </c>
      <c r="D124" s="16">
        <f>IF(A124="","",ROUND($B$15+$B$25*(A124-$B$17),9))</f>
        <v/>
      </c>
      <c r="E124" s="16">
        <f>IF(A124="","",ROUND(D124-$B$15,9))</f>
        <v/>
      </c>
    </row>
    <row r="125">
      <c r="A125" s="16">
        <f>IF(OR(A124="",A124&gt;=$B$18),"",MIN($B$18,(FLOOR(A124/$B$19+0.000000001,1)+1)*$B$19))</f>
        <v/>
      </c>
      <c r="B125" s="17">
        <f>IF(A125="","",IF(A125&lt;0,"-","")&amp;INT(ABS(A125)/1000)&amp;"+"&amp;TEXT(MOD(ABS(A125),1000),"000.000"))</f>
        <v/>
      </c>
      <c r="C125" s="16">
        <f>IF(A125="","",A125-$B$17)</f>
        <v/>
      </c>
      <c r="D125" s="16">
        <f>IF(A125="","",ROUND($B$15+$B$25*(A125-$B$17),9))</f>
        <v/>
      </c>
      <c r="E125" s="16">
        <f>IF(A125="","",ROUND(D125-$B$15,9))</f>
        <v/>
      </c>
    </row>
    <row r="126">
      <c r="A126" s="16">
        <f>IF(OR(A125="",A125&gt;=$B$18),"",MIN($B$18,(FLOOR(A125/$B$19+0.000000001,1)+1)*$B$19))</f>
        <v/>
      </c>
      <c r="B126" s="17">
        <f>IF(A126="","",IF(A126&lt;0,"-","")&amp;INT(ABS(A126)/1000)&amp;"+"&amp;TEXT(MOD(ABS(A126),1000),"000.000"))</f>
        <v/>
      </c>
      <c r="C126" s="16">
        <f>IF(A126="","",A126-$B$17)</f>
        <v/>
      </c>
      <c r="D126" s="16">
        <f>IF(A126="","",ROUND($B$15+$B$25*(A126-$B$17),9))</f>
        <v/>
      </c>
      <c r="E126" s="16">
        <f>IF(A126="","",ROUND(D126-$B$15,9))</f>
        <v/>
      </c>
    </row>
    <row r="127">
      <c r="A127" s="16">
        <f>IF(OR(A126="",A126&gt;=$B$18),"",MIN($B$18,(FLOOR(A126/$B$19+0.000000001,1)+1)*$B$19))</f>
        <v/>
      </c>
      <c r="B127" s="17">
        <f>IF(A127="","",IF(A127&lt;0,"-","")&amp;INT(ABS(A127)/1000)&amp;"+"&amp;TEXT(MOD(ABS(A127),1000),"000.000"))</f>
        <v/>
      </c>
      <c r="C127" s="16">
        <f>IF(A127="","",A127-$B$17)</f>
        <v/>
      </c>
      <c r="D127" s="16">
        <f>IF(A127="","",ROUND($B$15+$B$25*(A127-$B$17),9))</f>
        <v/>
      </c>
      <c r="E127" s="16">
        <f>IF(A127="","",ROUND(D127-$B$15,9))</f>
        <v/>
      </c>
    </row>
    <row r="128">
      <c r="A128" s="16">
        <f>IF(OR(A127="",A127&gt;=$B$18),"",MIN($B$18,(FLOOR(A127/$B$19+0.000000001,1)+1)*$B$19))</f>
        <v/>
      </c>
      <c r="B128" s="17">
        <f>IF(A128="","",IF(A128&lt;0,"-","")&amp;INT(ABS(A128)/1000)&amp;"+"&amp;TEXT(MOD(ABS(A128),1000),"000.000"))</f>
        <v/>
      </c>
      <c r="C128" s="16">
        <f>IF(A128="","",A128-$B$17)</f>
        <v/>
      </c>
      <c r="D128" s="16">
        <f>IF(A128="","",ROUND($B$15+$B$25*(A128-$B$17),9))</f>
        <v/>
      </c>
      <c r="E128" s="16">
        <f>IF(A128="","",ROUND(D128-$B$15,9))</f>
        <v/>
      </c>
    </row>
    <row r="129">
      <c r="A129" s="16">
        <f>IF(OR(A128="",A128&gt;=$B$18),"",MIN($B$18,(FLOOR(A128/$B$19+0.000000001,1)+1)*$B$19))</f>
        <v/>
      </c>
      <c r="B129" s="17">
        <f>IF(A129="","",IF(A129&lt;0,"-","")&amp;INT(ABS(A129)/1000)&amp;"+"&amp;TEXT(MOD(ABS(A129),1000),"000.000"))</f>
        <v/>
      </c>
      <c r="C129" s="16">
        <f>IF(A129="","",A129-$B$17)</f>
        <v/>
      </c>
      <c r="D129" s="16">
        <f>IF(A129="","",ROUND($B$15+$B$25*(A129-$B$17),9))</f>
        <v/>
      </c>
      <c r="E129" s="16">
        <f>IF(A129="","",ROUND(D129-$B$15,9))</f>
        <v/>
      </c>
    </row>
    <row r="130">
      <c r="A130" s="16">
        <f>IF(OR(A129="",A129&gt;=$B$18),"",MIN($B$18,(FLOOR(A129/$B$19+0.000000001,1)+1)*$B$19))</f>
        <v/>
      </c>
      <c r="B130" s="17">
        <f>IF(A130="","",IF(A130&lt;0,"-","")&amp;INT(ABS(A130)/1000)&amp;"+"&amp;TEXT(MOD(ABS(A130),1000),"000.000"))</f>
        <v/>
      </c>
      <c r="C130" s="16">
        <f>IF(A130="","",A130-$B$17)</f>
        <v/>
      </c>
      <c r="D130" s="16">
        <f>IF(A130="","",ROUND($B$15+$B$25*(A130-$B$17),9))</f>
        <v/>
      </c>
      <c r="E130" s="16">
        <f>IF(A130="","",ROUND(D130-$B$15,9))</f>
        <v/>
      </c>
    </row>
    <row r="131">
      <c r="A131" s="16">
        <f>IF(OR(A130="",A130&gt;=$B$18),"",MIN($B$18,(FLOOR(A130/$B$19+0.000000001,1)+1)*$B$19))</f>
        <v/>
      </c>
      <c r="B131" s="17">
        <f>IF(A131="","",IF(A131&lt;0,"-","")&amp;INT(ABS(A131)/1000)&amp;"+"&amp;TEXT(MOD(ABS(A131),1000),"000.000"))</f>
        <v/>
      </c>
      <c r="C131" s="16">
        <f>IF(A131="","",A131-$B$17)</f>
        <v/>
      </c>
      <c r="D131" s="16">
        <f>IF(A131="","",ROUND($B$15+$B$25*(A131-$B$17),9))</f>
        <v/>
      </c>
      <c r="E131" s="16">
        <f>IF(A131="","",ROUND(D131-$B$15,9))</f>
        <v/>
      </c>
    </row>
    <row r="132">
      <c r="A132" s="16">
        <f>IF(OR(A131="",A131&gt;=$B$18),"",MIN($B$18,(FLOOR(A131/$B$19+0.000000001,1)+1)*$B$19))</f>
        <v/>
      </c>
      <c r="B132" s="17">
        <f>IF(A132="","",IF(A132&lt;0,"-","")&amp;INT(ABS(A132)/1000)&amp;"+"&amp;TEXT(MOD(ABS(A132),1000),"000.000"))</f>
        <v/>
      </c>
      <c r="C132" s="16">
        <f>IF(A132="","",A132-$B$17)</f>
        <v/>
      </c>
      <c r="D132" s="16">
        <f>IF(A132="","",ROUND($B$15+$B$25*(A132-$B$17),9))</f>
        <v/>
      </c>
      <c r="E132" s="16">
        <f>IF(A132="","",ROUND(D132-$B$15,9))</f>
        <v/>
      </c>
    </row>
    <row r="133">
      <c r="A133" s="16">
        <f>IF(OR(A132="",A132&gt;=$B$18),"",MIN($B$18,(FLOOR(A132/$B$19+0.000000001,1)+1)*$B$19))</f>
        <v/>
      </c>
      <c r="B133" s="17">
        <f>IF(A133="","",IF(A133&lt;0,"-","")&amp;INT(ABS(A133)/1000)&amp;"+"&amp;TEXT(MOD(ABS(A133),1000),"000.000"))</f>
        <v/>
      </c>
      <c r="C133" s="16">
        <f>IF(A133="","",A133-$B$17)</f>
        <v/>
      </c>
      <c r="D133" s="16">
        <f>IF(A133="","",ROUND($B$15+$B$25*(A133-$B$17),9))</f>
        <v/>
      </c>
      <c r="E133" s="16">
        <f>IF(A133="","",ROUND(D133-$B$15,9))</f>
        <v/>
      </c>
    </row>
    <row r="134">
      <c r="A134" s="16">
        <f>IF(OR(A133="",A133&gt;=$B$18),"",MIN($B$18,(FLOOR(A133/$B$19+0.000000001,1)+1)*$B$19))</f>
        <v/>
      </c>
      <c r="B134" s="17">
        <f>IF(A134="","",IF(A134&lt;0,"-","")&amp;INT(ABS(A134)/1000)&amp;"+"&amp;TEXT(MOD(ABS(A134),1000),"000.000"))</f>
        <v/>
      </c>
      <c r="C134" s="16">
        <f>IF(A134="","",A134-$B$17)</f>
        <v/>
      </c>
      <c r="D134" s="16">
        <f>IF(A134="","",ROUND($B$15+$B$25*(A134-$B$17),9))</f>
        <v/>
      </c>
      <c r="E134" s="16">
        <f>IF(A134="","",ROUND(D134-$B$15,9))</f>
        <v/>
      </c>
    </row>
    <row r="135">
      <c r="A135" s="16">
        <f>IF(OR(A134="",A134&gt;=$B$18),"",MIN($B$18,(FLOOR(A134/$B$19+0.000000001,1)+1)*$B$19))</f>
        <v/>
      </c>
      <c r="B135" s="17">
        <f>IF(A135="","",IF(A135&lt;0,"-","")&amp;INT(ABS(A135)/1000)&amp;"+"&amp;TEXT(MOD(ABS(A135),1000),"000.000"))</f>
        <v/>
      </c>
      <c r="C135" s="16">
        <f>IF(A135="","",A135-$B$17)</f>
        <v/>
      </c>
      <c r="D135" s="16">
        <f>IF(A135="","",ROUND($B$15+$B$25*(A135-$B$17),9))</f>
        <v/>
      </c>
      <c r="E135" s="16">
        <f>IF(A135="","",ROUND(D135-$B$15,9))</f>
        <v/>
      </c>
    </row>
    <row r="136">
      <c r="A136" s="16">
        <f>IF(OR(A135="",A135&gt;=$B$18),"",MIN($B$18,(FLOOR(A135/$B$19+0.000000001,1)+1)*$B$19))</f>
        <v/>
      </c>
      <c r="B136" s="17">
        <f>IF(A136="","",IF(A136&lt;0,"-","")&amp;INT(ABS(A136)/1000)&amp;"+"&amp;TEXT(MOD(ABS(A136),1000),"000.000"))</f>
        <v/>
      </c>
      <c r="C136" s="16">
        <f>IF(A136="","",A136-$B$17)</f>
        <v/>
      </c>
      <c r="D136" s="16">
        <f>IF(A136="","",ROUND($B$15+$B$25*(A136-$B$17),9))</f>
        <v/>
      </c>
      <c r="E136" s="16">
        <f>IF(A136="","",ROUND(D136-$B$15,9))</f>
        <v/>
      </c>
    </row>
    <row r="137">
      <c r="A137" s="16">
        <f>IF(OR(A136="",A136&gt;=$B$18),"",MIN($B$18,(FLOOR(A136/$B$19+0.000000001,1)+1)*$B$19))</f>
        <v/>
      </c>
      <c r="B137" s="17">
        <f>IF(A137="","",IF(A137&lt;0,"-","")&amp;INT(ABS(A137)/1000)&amp;"+"&amp;TEXT(MOD(ABS(A137),1000),"000.000"))</f>
        <v/>
      </c>
      <c r="C137" s="16">
        <f>IF(A137="","",A137-$B$17)</f>
        <v/>
      </c>
      <c r="D137" s="16">
        <f>IF(A137="","",ROUND($B$15+$B$25*(A137-$B$17),9))</f>
        <v/>
      </c>
      <c r="E137" s="16">
        <f>IF(A137="","",ROUND(D137-$B$15,9))</f>
        <v/>
      </c>
    </row>
    <row r="138">
      <c r="A138" s="16">
        <f>IF(OR(A137="",A137&gt;=$B$18),"",MIN($B$18,(FLOOR(A137/$B$19+0.000000001,1)+1)*$B$19))</f>
        <v/>
      </c>
      <c r="B138" s="17">
        <f>IF(A138="","",IF(A138&lt;0,"-","")&amp;INT(ABS(A138)/1000)&amp;"+"&amp;TEXT(MOD(ABS(A138),1000),"000.000"))</f>
        <v/>
      </c>
      <c r="C138" s="16">
        <f>IF(A138="","",A138-$B$17)</f>
        <v/>
      </c>
      <c r="D138" s="16">
        <f>IF(A138="","",ROUND($B$15+$B$25*(A138-$B$17),9))</f>
        <v/>
      </c>
      <c r="E138" s="16">
        <f>IF(A138="","",ROUND(D138-$B$15,9))</f>
        <v/>
      </c>
    </row>
    <row r="139">
      <c r="A139" s="16">
        <f>IF(OR(A138="",A138&gt;=$B$18),"",MIN($B$18,(FLOOR(A138/$B$19+0.000000001,1)+1)*$B$19))</f>
        <v/>
      </c>
      <c r="B139" s="17">
        <f>IF(A139="","",IF(A139&lt;0,"-","")&amp;INT(ABS(A139)/1000)&amp;"+"&amp;TEXT(MOD(ABS(A139),1000),"000.000"))</f>
        <v/>
      </c>
      <c r="C139" s="16">
        <f>IF(A139="","",A139-$B$17)</f>
        <v/>
      </c>
      <c r="D139" s="16">
        <f>IF(A139="","",ROUND($B$15+$B$25*(A139-$B$17),9))</f>
        <v/>
      </c>
      <c r="E139" s="16">
        <f>IF(A139="","",ROUND(D139-$B$15,9))</f>
        <v/>
      </c>
    </row>
    <row r="140">
      <c r="A140" s="16">
        <f>IF(OR(A139="",A139&gt;=$B$18),"",MIN($B$18,(FLOOR(A139/$B$19+0.000000001,1)+1)*$B$19))</f>
        <v/>
      </c>
      <c r="B140" s="17">
        <f>IF(A140="","",IF(A140&lt;0,"-","")&amp;INT(ABS(A140)/1000)&amp;"+"&amp;TEXT(MOD(ABS(A140),1000),"000.000"))</f>
        <v/>
      </c>
      <c r="C140" s="16">
        <f>IF(A140="","",A140-$B$17)</f>
        <v/>
      </c>
      <c r="D140" s="16">
        <f>IF(A140="","",ROUND($B$15+$B$25*(A140-$B$17),9))</f>
        <v/>
      </c>
      <c r="E140" s="16">
        <f>IF(A140="","",ROUND(D140-$B$15,9))</f>
        <v/>
      </c>
    </row>
    <row r="141">
      <c r="A141" s="16">
        <f>IF(OR(A140="",A140&gt;=$B$18),"",MIN($B$18,(FLOOR(A140/$B$19+0.000000001,1)+1)*$B$19))</f>
        <v/>
      </c>
      <c r="B141" s="17">
        <f>IF(A141="","",IF(A141&lt;0,"-","")&amp;INT(ABS(A141)/1000)&amp;"+"&amp;TEXT(MOD(ABS(A141),1000),"000.000"))</f>
        <v/>
      </c>
      <c r="C141" s="16">
        <f>IF(A141="","",A141-$B$17)</f>
        <v/>
      </c>
      <c r="D141" s="16">
        <f>IF(A141="","",ROUND($B$15+$B$25*(A141-$B$17),9))</f>
        <v/>
      </c>
      <c r="E141" s="16">
        <f>IF(A141="","",ROUND(D141-$B$15,9))</f>
        <v/>
      </c>
    </row>
    <row r="142">
      <c r="A142" s="16">
        <f>IF(OR(A141="",A141&gt;=$B$18),"",MIN($B$18,(FLOOR(A141/$B$19+0.000000001,1)+1)*$B$19))</f>
        <v/>
      </c>
      <c r="B142" s="17">
        <f>IF(A142="","",IF(A142&lt;0,"-","")&amp;INT(ABS(A142)/1000)&amp;"+"&amp;TEXT(MOD(ABS(A142),1000),"000.000"))</f>
        <v/>
      </c>
      <c r="C142" s="16">
        <f>IF(A142="","",A142-$B$17)</f>
        <v/>
      </c>
      <c r="D142" s="16">
        <f>IF(A142="","",ROUND($B$15+$B$25*(A142-$B$17),9))</f>
        <v/>
      </c>
      <c r="E142" s="16">
        <f>IF(A142="","",ROUND(D142-$B$15,9))</f>
        <v/>
      </c>
    </row>
    <row r="143">
      <c r="A143" s="16">
        <f>IF(OR(A142="",A142&gt;=$B$18),"",MIN($B$18,(FLOOR(A142/$B$19+0.000000001,1)+1)*$B$19))</f>
        <v/>
      </c>
      <c r="B143" s="17">
        <f>IF(A143="","",IF(A143&lt;0,"-","")&amp;INT(ABS(A143)/1000)&amp;"+"&amp;TEXT(MOD(ABS(A143),1000),"000.000"))</f>
        <v/>
      </c>
      <c r="C143" s="16">
        <f>IF(A143="","",A143-$B$17)</f>
        <v/>
      </c>
      <c r="D143" s="16">
        <f>IF(A143="","",ROUND($B$15+$B$25*(A143-$B$17),9))</f>
        <v/>
      </c>
      <c r="E143" s="16">
        <f>IF(A143="","",ROUND(D143-$B$15,9))</f>
        <v/>
      </c>
    </row>
    <row r="144">
      <c r="A144" s="16">
        <f>IF(OR(A143="",A143&gt;=$B$18),"",MIN($B$18,(FLOOR(A143/$B$19+0.000000001,1)+1)*$B$19))</f>
        <v/>
      </c>
      <c r="B144" s="17">
        <f>IF(A144="","",IF(A144&lt;0,"-","")&amp;INT(ABS(A144)/1000)&amp;"+"&amp;TEXT(MOD(ABS(A144),1000),"000.000"))</f>
        <v/>
      </c>
      <c r="C144" s="16">
        <f>IF(A144="","",A144-$B$17)</f>
        <v/>
      </c>
      <c r="D144" s="16">
        <f>IF(A144="","",ROUND($B$15+$B$25*(A144-$B$17),9))</f>
        <v/>
      </c>
      <c r="E144" s="16">
        <f>IF(A144="","",ROUND(D144-$B$15,9))</f>
        <v/>
      </c>
    </row>
    <row r="145">
      <c r="A145" s="16">
        <f>IF(OR(A144="",A144&gt;=$B$18),"",MIN($B$18,(FLOOR(A144/$B$19+0.000000001,1)+1)*$B$19))</f>
        <v/>
      </c>
      <c r="B145" s="17">
        <f>IF(A145="","",IF(A145&lt;0,"-","")&amp;INT(ABS(A145)/1000)&amp;"+"&amp;TEXT(MOD(ABS(A145),1000),"000.000"))</f>
        <v/>
      </c>
      <c r="C145" s="16">
        <f>IF(A145="","",A145-$B$17)</f>
        <v/>
      </c>
      <c r="D145" s="16">
        <f>IF(A145="","",ROUND($B$15+$B$25*(A145-$B$17),9))</f>
        <v/>
      </c>
      <c r="E145" s="16">
        <f>IF(A145="","",ROUND(D145-$B$15,9))</f>
        <v/>
      </c>
    </row>
    <row r="146">
      <c r="A146" s="16">
        <f>IF(OR(A145="",A145&gt;=$B$18),"",MIN($B$18,(FLOOR(A145/$B$19+0.000000001,1)+1)*$B$19))</f>
        <v/>
      </c>
      <c r="B146" s="17">
        <f>IF(A146="","",IF(A146&lt;0,"-","")&amp;INT(ABS(A146)/1000)&amp;"+"&amp;TEXT(MOD(ABS(A146),1000),"000.000"))</f>
        <v/>
      </c>
      <c r="C146" s="16">
        <f>IF(A146="","",A146-$B$17)</f>
        <v/>
      </c>
      <c r="D146" s="16">
        <f>IF(A146="","",ROUND($B$15+$B$25*(A146-$B$17),9))</f>
        <v/>
      </c>
      <c r="E146" s="16">
        <f>IF(A146="","",ROUND(D146-$B$15,9))</f>
        <v/>
      </c>
    </row>
    <row r="147">
      <c r="A147" s="16">
        <f>IF(OR(A146="",A146&gt;=$B$18),"",MIN($B$18,(FLOOR(A146/$B$19+0.000000001,1)+1)*$B$19))</f>
        <v/>
      </c>
      <c r="B147" s="17">
        <f>IF(A147="","",IF(A147&lt;0,"-","")&amp;INT(ABS(A147)/1000)&amp;"+"&amp;TEXT(MOD(ABS(A147),1000),"000.000"))</f>
        <v/>
      </c>
      <c r="C147" s="16">
        <f>IF(A147="","",A147-$B$17)</f>
        <v/>
      </c>
      <c r="D147" s="16">
        <f>IF(A147="","",ROUND($B$15+$B$25*(A147-$B$17),9))</f>
        <v/>
      </c>
      <c r="E147" s="16">
        <f>IF(A147="","",ROUND(D147-$B$15,9))</f>
        <v/>
      </c>
    </row>
    <row r="148">
      <c r="A148" s="16">
        <f>IF(OR(A147="",A147&gt;=$B$18),"",MIN($B$18,(FLOOR(A147/$B$19+0.000000001,1)+1)*$B$19))</f>
        <v/>
      </c>
      <c r="B148" s="17">
        <f>IF(A148="","",IF(A148&lt;0,"-","")&amp;INT(ABS(A148)/1000)&amp;"+"&amp;TEXT(MOD(ABS(A148),1000),"000.000"))</f>
        <v/>
      </c>
      <c r="C148" s="16">
        <f>IF(A148="","",A148-$B$17)</f>
        <v/>
      </c>
      <c r="D148" s="16">
        <f>IF(A148="","",ROUND($B$15+$B$25*(A148-$B$17),9))</f>
        <v/>
      </c>
      <c r="E148" s="16">
        <f>IF(A148="","",ROUND(D148-$B$15,9))</f>
        <v/>
      </c>
    </row>
    <row r="149">
      <c r="A149" s="16">
        <f>IF(OR(A148="",A148&gt;=$B$18),"",MIN($B$18,(FLOOR(A148/$B$19+0.000000001,1)+1)*$B$19))</f>
        <v/>
      </c>
      <c r="B149" s="17">
        <f>IF(A149="","",IF(A149&lt;0,"-","")&amp;INT(ABS(A149)/1000)&amp;"+"&amp;TEXT(MOD(ABS(A149),1000),"000.000"))</f>
        <v/>
      </c>
      <c r="C149" s="16">
        <f>IF(A149="","",A149-$B$17)</f>
        <v/>
      </c>
      <c r="D149" s="16">
        <f>IF(A149="","",ROUND($B$15+$B$25*(A149-$B$17),9))</f>
        <v/>
      </c>
      <c r="E149" s="16">
        <f>IF(A149="","",ROUND(D149-$B$15,9))</f>
        <v/>
      </c>
    </row>
    <row r="150">
      <c r="A150" s="16">
        <f>IF(OR(A149="",A149&gt;=$B$18),"",MIN($B$18,(FLOOR(A149/$B$19+0.000000001,1)+1)*$B$19))</f>
        <v/>
      </c>
      <c r="B150" s="17">
        <f>IF(A150="","",IF(A150&lt;0,"-","")&amp;INT(ABS(A150)/1000)&amp;"+"&amp;TEXT(MOD(ABS(A150),1000),"000.000"))</f>
        <v/>
      </c>
      <c r="C150" s="16">
        <f>IF(A150="","",A150-$B$17)</f>
        <v/>
      </c>
      <c r="D150" s="16">
        <f>IF(A150="","",ROUND($B$15+$B$25*(A150-$B$17),9))</f>
        <v/>
      </c>
      <c r="E150" s="16">
        <f>IF(A150="","",ROUND(D150-$B$15,9))</f>
        <v/>
      </c>
    </row>
    <row r="151">
      <c r="A151" s="16">
        <f>IF(OR(A150="",A150&gt;=$B$18),"",MIN($B$18,(FLOOR(A150/$B$19+0.000000001,1)+1)*$B$19))</f>
        <v/>
      </c>
      <c r="B151" s="17">
        <f>IF(A151="","",IF(A151&lt;0,"-","")&amp;INT(ABS(A151)/1000)&amp;"+"&amp;TEXT(MOD(ABS(A151),1000),"000.000"))</f>
        <v/>
      </c>
      <c r="C151" s="16">
        <f>IF(A151="","",A151-$B$17)</f>
        <v/>
      </c>
      <c r="D151" s="16">
        <f>IF(A151="","",ROUND($B$15+$B$25*(A151-$B$17),9))</f>
        <v/>
      </c>
      <c r="E151" s="16">
        <f>IF(A151="","",ROUND(D151-$B$15,9))</f>
        <v/>
      </c>
    </row>
    <row r="152">
      <c r="A152" s="16">
        <f>IF(OR(A151="",A151&gt;=$B$18),"",MIN($B$18,(FLOOR(A151/$B$19+0.000000001,1)+1)*$B$19))</f>
        <v/>
      </c>
      <c r="B152" s="17">
        <f>IF(A152="","",IF(A152&lt;0,"-","")&amp;INT(ABS(A152)/1000)&amp;"+"&amp;TEXT(MOD(ABS(A152),1000),"000.000"))</f>
        <v/>
      </c>
      <c r="C152" s="16">
        <f>IF(A152="","",A152-$B$17)</f>
        <v/>
      </c>
      <c r="D152" s="16">
        <f>IF(A152="","",ROUND($B$15+$B$25*(A152-$B$17),9))</f>
        <v/>
      </c>
      <c r="E152" s="16">
        <f>IF(A152="","",ROUND(D152-$B$15,9))</f>
        <v/>
      </c>
    </row>
    <row r="153">
      <c r="A153" s="16">
        <f>IF(OR(A152="",A152&gt;=$B$18),"",MIN($B$18,(FLOOR(A152/$B$19+0.000000001,1)+1)*$B$19))</f>
        <v/>
      </c>
      <c r="B153" s="17">
        <f>IF(A153="","",IF(A153&lt;0,"-","")&amp;INT(ABS(A153)/1000)&amp;"+"&amp;TEXT(MOD(ABS(A153),1000),"000.000"))</f>
        <v/>
      </c>
      <c r="C153" s="16">
        <f>IF(A153="","",A153-$B$17)</f>
        <v/>
      </c>
      <c r="D153" s="16">
        <f>IF(A153="","",ROUND($B$15+$B$25*(A153-$B$17),9))</f>
        <v/>
      </c>
      <c r="E153" s="16">
        <f>IF(A153="","",ROUND(D153-$B$15,9))</f>
        <v/>
      </c>
    </row>
    <row r="154">
      <c r="A154" s="16">
        <f>IF(OR(A153="",A153&gt;=$B$18),"",MIN($B$18,(FLOOR(A153/$B$19+0.000000001,1)+1)*$B$19))</f>
        <v/>
      </c>
      <c r="B154" s="17">
        <f>IF(A154="","",IF(A154&lt;0,"-","")&amp;INT(ABS(A154)/1000)&amp;"+"&amp;TEXT(MOD(ABS(A154),1000),"000.000"))</f>
        <v/>
      </c>
      <c r="C154" s="16">
        <f>IF(A154="","",A154-$B$17)</f>
        <v/>
      </c>
      <c r="D154" s="16">
        <f>IF(A154="","",ROUND($B$15+$B$25*(A154-$B$17),9))</f>
        <v/>
      </c>
      <c r="E154" s="16">
        <f>IF(A154="","",ROUND(D154-$B$15,9))</f>
        <v/>
      </c>
    </row>
    <row r="155">
      <c r="A155" s="16">
        <f>IF(OR(A154="",A154&gt;=$B$18),"",MIN($B$18,(FLOOR(A154/$B$19+0.000000001,1)+1)*$B$19))</f>
        <v/>
      </c>
      <c r="B155" s="17">
        <f>IF(A155="","",IF(A155&lt;0,"-","")&amp;INT(ABS(A155)/1000)&amp;"+"&amp;TEXT(MOD(ABS(A155),1000),"000.000"))</f>
        <v/>
      </c>
      <c r="C155" s="16">
        <f>IF(A155="","",A155-$B$17)</f>
        <v/>
      </c>
      <c r="D155" s="16">
        <f>IF(A155="","",ROUND($B$15+$B$25*(A155-$B$17),9))</f>
        <v/>
      </c>
      <c r="E155" s="16">
        <f>IF(A155="","",ROUND(D155-$B$15,9))</f>
        <v/>
      </c>
    </row>
    <row r="156">
      <c r="A156" s="16">
        <f>IF(OR(A155="",A155&gt;=$B$18),"",MIN($B$18,(FLOOR(A155/$B$19+0.000000001,1)+1)*$B$19))</f>
        <v/>
      </c>
      <c r="B156" s="17">
        <f>IF(A156="","",IF(A156&lt;0,"-","")&amp;INT(ABS(A156)/1000)&amp;"+"&amp;TEXT(MOD(ABS(A156),1000),"000.000"))</f>
        <v/>
      </c>
      <c r="C156" s="16">
        <f>IF(A156="","",A156-$B$17)</f>
        <v/>
      </c>
      <c r="D156" s="16">
        <f>IF(A156="","",ROUND($B$15+$B$25*(A156-$B$17),9))</f>
        <v/>
      </c>
      <c r="E156" s="16">
        <f>IF(A156="","",ROUND(D156-$B$15,9))</f>
        <v/>
      </c>
    </row>
    <row r="157">
      <c r="A157" s="16">
        <f>IF(OR(A156="",A156&gt;=$B$18),"",MIN($B$18,(FLOOR(A156/$B$19+0.000000001,1)+1)*$B$19))</f>
        <v/>
      </c>
      <c r="B157" s="17">
        <f>IF(A157="","",IF(A157&lt;0,"-","")&amp;INT(ABS(A157)/1000)&amp;"+"&amp;TEXT(MOD(ABS(A157),1000),"000.000"))</f>
        <v/>
      </c>
      <c r="C157" s="16">
        <f>IF(A157="","",A157-$B$17)</f>
        <v/>
      </c>
      <c r="D157" s="16">
        <f>IF(A157="","",ROUND($B$15+$B$25*(A157-$B$17),9))</f>
        <v/>
      </c>
      <c r="E157" s="16">
        <f>IF(A157="","",ROUND(D157-$B$15,9))</f>
        <v/>
      </c>
    </row>
    <row r="158">
      <c r="A158" s="16">
        <f>IF(OR(A157="",A157&gt;=$B$18),"",MIN($B$18,(FLOOR(A157/$B$19+0.000000001,1)+1)*$B$19))</f>
        <v/>
      </c>
      <c r="B158" s="17">
        <f>IF(A158="","",IF(A158&lt;0,"-","")&amp;INT(ABS(A158)/1000)&amp;"+"&amp;TEXT(MOD(ABS(A158),1000),"000.000"))</f>
        <v/>
      </c>
      <c r="C158" s="16">
        <f>IF(A158="","",A158-$B$17)</f>
        <v/>
      </c>
      <c r="D158" s="16">
        <f>IF(A158="","",ROUND($B$15+$B$25*(A158-$B$17),9))</f>
        <v/>
      </c>
      <c r="E158" s="16">
        <f>IF(A158="","",ROUND(D158-$B$15,9))</f>
        <v/>
      </c>
    </row>
    <row r="159">
      <c r="A159" s="16">
        <f>IF(OR(A158="",A158&gt;=$B$18),"",MIN($B$18,(FLOOR(A158/$B$19+0.000000001,1)+1)*$B$19))</f>
        <v/>
      </c>
      <c r="B159" s="17">
        <f>IF(A159="","",IF(A159&lt;0,"-","")&amp;INT(ABS(A159)/1000)&amp;"+"&amp;TEXT(MOD(ABS(A159),1000),"000.000"))</f>
        <v/>
      </c>
      <c r="C159" s="16">
        <f>IF(A159="","",A159-$B$17)</f>
        <v/>
      </c>
      <c r="D159" s="16">
        <f>IF(A159="","",ROUND($B$15+$B$25*(A159-$B$17),9))</f>
        <v/>
      </c>
      <c r="E159" s="16">
        <f>IF(A159="","",ROUND(D159-$B$15,9))</f>
        <v/>
      </c>
    </row>
    <row r="160">
      <c r="A160" s="16">
        <f>IF(OR(A159="",A159&gt;=$B$18),"",MIN($B$18,(FLOOR(A159/$B$19+0.000000001,1)+1)*$B$19))</f>
        <v/>
      </c>
      <c r="B160" s="17">
        <f>IF(A160="","",IF(A160&lt;0,"-","")&amp;INT(ABS(A160)/1000)&amp;"+"&amp;TEXT(MOD(ABS(A160),1000),"000.000"))</f>
        <v/>
      </c>
      <c r="C160" s="16">
        <f>IF(A160="","",A160-$B$17)</f>
        <v/>
      </c>
      <c r="D160" s="16">
        <f>IF(A160="","",ROUND($B$15+$B$25*(A160-$B$17),9))</f>
        <v/>
      </c>
      <c r="E160" s="16">
        <f>IF(A160="","",ROUND(D160-$B$15,9))</f>
        <v/>
      </c>
    </row>
    <row r="161">
      <c r="A161" s="16">
        <f>IF(OR(A160="",A160&gt;=$B$18),"",MIN($B$18,(FLOOR(A160/$B$19+0.000000001,1)+1)*$B$19))</f>
        <v/>
      </c>
      <c r="B161" s="17">
        <f>IF(A161="","",IF(A161&lt;0,"-","")&amp;INT(ABS(A161)/1000)&amp;"+"&amp;TEXT(MOD(ABS(A161),1000),"000.000"))</f>
        <v/>
      </c>
      <c r="C161" s="16">
        <f>IF(A161="","",A161-$B$17)</f>
        <v/>
      </c>
      <c r="D161" s="16">
        <f>IF(A161="","",ROUND($B$15+$B$25*(A161-$B$17),9))</f>
        <v/>
      </c>
      <c r="E161" s="16">
        <f>IF(A161="","",ROUND(D161-$B$15,9))</f>
        <v/>
      </c>
    </row>
    <row r="162">
      <c r="A162" s="16">
        <f>IF(OR(A161="",A161&gt;=$B$18),"",MIN($B$18,(FLOOR(A161/$B$19+0.000000001,1)+1)*$B$19))</f>
        <v/>
      </c>
      <c r="B162" s="17">
        <f>IF(A162="","",IF(A162&lt;0,"-","")&amp;INT(ABS(A162)/1000)&amp;"+"&amp;TEXT(MOD(ABS(A162),1000),"000.000"))</f>
        <v/>
      </c>
      <c r="C162" s="16">
        <f>IF(A162="","",A162-$B$17)</f>
        <v/>
      </c>
      <c r="D162" s="16">
        <f>IF(A162="","",ROUND($B$15+$B$25*(A162-$B$17),9))</f>
        <v/>
      </c>
      <c r="E162" s="16">
        <f>IF(A162="","",ROUND(D162-$B$15,9))</f>
        <v/>
      </c>
    </row>
    <row r="163">
      <c r="A163" s="16">
        <f>IF(OR(A162="",A162&gt;=$B$18),"",MIN($B$18,(FLOOR(A162/$B$19+0.000000001,1)+1)*$B$19))</f>
        <v/>
      </c>
      <c r="B163" s="17">
        <f>IF(A163="","",IF(A163&lt;0,"-","")&amp;INT(ABS(A163)/1000)&amp;"+"&amp;TEXT(MOD(ABS(A163),1000),"000.000"))</f>
        <v/>
      </c>
      <c r="C163" s="16">
        <f>IF(A163="","",A163-$B$17)</f>
        <v/>
      </c>
      <c r="D163" s="16">
        <f>IF(A163="","",ROUND($B$15+$B$25*(A163-$B$17),9))</f>
        <v/>
      </c>
      <c r="E163" s="16">
        <f>IF(A163="","",ROUND(D163-$B$15,9))</f>
        <v/>
      </c>
    </row>
    <row r="164">
      <c r="A164" s="16">
        <f>IF(OR(A163="",A163&gt;=$B$18),"",MIN($B$18,(FLOOR(A163/$B$19+0.000000001,1)+1)*$B$19))</f>
        <v/>
      </c>
      <c r="B164" s="17">
        <f>IF(A164="","",IF(A164&lt;0,"-","")&amp;INT(ABS(A164)/1000)&amp;"+"&amp;TEXT(MOD(ABS(A164),1000),"000.000"))</f>
        <v/>
      </c>
      <c r="C164" s="16">
        <f>IF(A164="","",A164-$B$17)</f>
        <v/>
      </c>
      <c r="D164" s="16">
        <f>IF(A164="","",ROUND($B$15+$B$25*(A164-$B$17),9))</f>
        <v/>
      </c>
      <c r="E164" s="16">
        <f>IF(A164="","",ROUND(D164-$B$15,9))</f>
        <v/>
      </c>
    </row>
    <row r="165">
      <c r="A165" s="16">
        <f>IF(OR(A164="",A164&gt;=$B$18),"",MIN($B$18,(FLOOR(A164/$B$19+0.000000001,1)+1)*$B$19))</f>
        <v/>
      </c>
      <c r="B165" s="17">
        <f>IF(A165="","",IF(A165&lt;0,"-","")&amp;INT(ABS(A165)/1000)&amp;"+"&amp;TEXT(MOD(ABS(A165),1000),"000.000"))</f>
        <v/>
      </c>
      <c r="C165" s="16">
        <f>IF(A165="","",A165-$B$17)</f>
        <v/>
      </c>
      <c r="D165" s="16">
        <f>IF(A165="","",ROUND($B$15+$B$25*(A165-$B$17),9))</f>
        <v/>
      </c>
      <c r="E165" s="16">
        <f>IF(A165="","",ROUND(D165-$B$15,9))</f>
        <v/>
      </c>
    </row>
    <row r="166">
      <c r="A166" s="16">
        <f>IF(OR(A165="",A165&gt;=$B$18),"",MIN($B$18,(FLOOR(A165/$B$19+0.000000001,1)+1)*$B$19))</f>
        <v/>
      </c>
      <c r="B166" s="17">
        <f>IF(A166="","",IF(A166&lt;0,"-","")&amp;INT(ABS(A166)/1000)&amp;"+"&amp;TEXT(MOD(ABS(A166),1000),"000.000"))</f>
        <v/>
      </c>
      <c r="C166" s="16">
        <f>IF(A166="","",A166-$B$17)</f>
        <v/>
      </c>
      <c r="D166" s="16">
        <f>IF(A166="","",ROUND($B$15+$B$25*(A166-$B$17),9))</f>
        <v/>
      </c>
      <c r="E166" s="16">
        <f>IF(A166="","",ROUND(D166-$B$15,9))</f>
        <v/>
      </c>
    </row>
    <row r="167">
      <c r="A167" s="16">
        <f>IF(OR(A166="",A166&gt;=$B$18),"",MIN($B$18,(FLOOR(A166/$B$19+0.000000001,1)+1)*$B$19))</f>
        <v/>
      </c>
      <c r="B167" s="17">
        <f>IF(A167="","",IF(A167&lt;0,"-","")&amp;INT(ABS(A167)/1000)&amp;"+"&amp;TEXT(MOD(ABS(A167),1000),"000.000"))</f>
        <v/>
      </c>
      <c r="C167" s="16">
        <f>IF(A167="","",A167-$B$17)</f>
        <v/>
      </c>
      <c r="D167" s="16">
        <f>IF(A167="","",ROUND($B$15+$B$25*(A167-$B$17),9))</f>
        <v/>
      </c>
      <c r="E167" s="16">
        <f>IF(A167="","",ROUND(D167-$B$15,9))</f>
        <v/>
      </c>
    </row>
    <row r="168">
      <c r="A168" s="16">
        <f>IF(OR(A167="",A167&gt;=$B$18),"",MIN($B$18,(FLOOR(A167/$B$19+0.000000001,1)+1)*$B$19))</f>
        <v/>
      </c>
      <c r="B168" s="17">
        <f>IF(A168="","",IF(A168&lt;0,"-","")&amp;INT(ABS(A168)/1000)&amp;"+"&amp;TEXT(MOD(ABS(A168),1000),"000.000"))</f>
        <v/>
      </c>
      <c r="C168" s="16">
        <f>IF(A168="","",A168-$B$17)</f>
        <v/>
      </c>
      <c r="D168" s="16">
        <f>IF(A168="","",ROUND($B$15+$B$25*(A168-$B$17),9))</f>
        <v/>
      </c>
      <c r="E168" s="16">
        <f>IF(A168="","",ROUND(D168-$B$15,9))</f>
        <v/>
      </c>
    </row>
    <row r="169">
      <c r="A169" s="16">
        <f>IF(OR(A168="",A168&gt;=$B$18),"",MIN($B$18,(FLOOR(A168/$B$19+0.000000001,1)+1)*$B$19))</f>
        <v/>
      </c>
      <c r="B169" s="17">
        <f>IF(A169="","",IF(A169&lt;0,"-","")&amp;INT(ABS(A169)/1000)&amp;"+"&amp;TEXT(MOD(ABS(A169),1000),"000.000"))</f>
        <v/>
      </c>
      <c r="C169" s="16">
        <f>IF(A169="","",A169-$B$17)</f>
        <v/>
      </c>
      <c r="D169" s="16">
        <f>IF(A169="","",ROUND($B$15+$B$25*(A169-$B$17),9))</f>
        <v/>
      </c>
      <c r="E169" s="16">
        <f>IF(A169="","",ROUND(D169-$B$15,9))</f>
        <v/>
      </c>
    </row>
    <row r="170">
      <c r="A170" s="16">
        <f>IF(OR(A169="",A169&gt;=$B$18),"",MIN($B$18,(FLOOR(A169/$B$19+0.000000001,1)+1)*$B$19))</f>
        <v/>
      </c>
      <c r="B170" s="17">
        <f>IF(A170="","",IF(A170&lt;0,"-","")&amp;INT(ABS(A170)/1000)&amp;"+"&amp;TEXT(MOD(ABS(A170),1000),"000.000"))</f>
        <v/>
      </c>
      <c r="C170" s="16">
        <f>IF(A170="","",A170-$B$17)</f>
        <v/>
      </c>
      <c r="D170" s="16">
        <f>IF(A170="","",ROUND($B$15+$B$25*(A170-$B$17),9))</f>
        <v/>
      </c>
      <c r="E170" s="16">
        <f>IF(A170="","",ROUND(D170-$B$15,9))</f>
        <v/>
      </c>
    </row>
    <row r="171">
      <c r="A171" s="16">
        <f>IF(OR(A170="",A170&gt;=$B$18),"",MIN($B$18,(FLOOR(A170/$B$19+0.000000001,1)+1)*$B$19))</f>
        <v/>
      </c>
      <c r="B171" s="17">
        <f>IF(A171="","",IF(A171&lt;0,"-","")&amp;INT(ABS(A171)/1000)&amp;"+"&amp;TEXT(MOD(ABS(A171),1000),"000.000"))</f>
        <v/>
      </c>
      <c r="C171" s="16">
        <f>IF(A171="","",A171-$B$17)</f>
        <v/>
      </c>
      <c r="D171" s="16">
        <f>IF(A171="","",ROUND($B$15+$B$25*(A171-$B$17),9))</f>
        <v/>
      </c>
      <c r="E171" s="16">
        <f>IF(A171="","",ROUND(D171-$B$15,9))</f>
        <v/>
      </c>
    </row>
    <row r="172">
      <c r="A172" s="16">
        <f>IF(OR(A171="",A171&gt;=$B$18),"",MIN($B$18,(FLOOR(A171/$B$19+0.000000001,1)+1)*$B$19))</f>
        <v/>
      </c>
      <c r="B172" s="17">
        <f>IF(A172="","",IF(A172&lt;0,"-","")&amp;INT(ABS(A172)/1000)&amp;"+"&amp;TEXT(MOD(ABS(A172),1000),"000.000"))</f>
        <v/>
      </c>
      <c r="C172" s="16">
        <f>IF(A172="","",A172-$B$17)</f>
        <v/>
      </c>
      <c r="D172" s="16">
        <f>IF(A172="","",ROUND($B$15+$B$25*(A172-$B$17),9))</f>
        <v/>
      </c>
      <c r="E172" s="16">
        <f>IF(A172="","",ROUND(D172-$B$15,9))</f>
        <v/>
      </c>
    </row>
    <row r="173">
      <c r="A173" s="16">
        <f>IF(OR(A172="",A172&gt;=$B$18),"",MIN($B$18,(FLOOR(A172/$B$19+0.000000001,1)+1)*$B$19))</f>
        <v/>
      </c>
      <c r="B173" s="17">
        <f>IF(A173="","",IF(A173&lt;0,"-","")&amp;INT(ABS(A173)/1000)&amp;"+"&amp;TEXT(MOD(ABS(A173),1000),"000.000"))</f>
        <v/>
      </c>
      <c r="C173" s="16">
        <f>IF(A173="","",A173-$B$17)</f>
        <v/>
      </c>
      <c r="D173" s="16">
        <f>IF(A173="","",ROUND($B$15+$B$25*(A173-$B$17),9))</f>
        <v/>
      </c>
      <c r="E173" s="16">
        <f>IF(A173="","",ROUND(D173-$B$15,9))</f>
        <v/>
      </c>
    </row>
    <row r="174">
      <c r="A174" s="16">
        <f>IF(OR(A173="",A173&gt;=$B$18),"",MIN($B$18,(FLOOR(A173/$B$19+0.000000001,1)+1)*$B$19))</f>
        <v/>
      </c>
      <c r="B174" s="17">
        <f>IF(A174="","",IF(A174&lt;0,"-","")&amp;INT(ABS(A174)/1000)&amp;"+"&amp;TEXT(MOD(ABS(A174),1000),"000.000"))</f>
        <v/>
      </c>
      <c r="C174" s="16">
        <f>IF(A174="","",A174-$B$17)</f>
        <v/>
      </c>
      <c r="D174" s="16">
        <f>IF(A174="","",ROUND($B$15+$B$25*(A174-$B$17),9))</f>
        <v/>
      </c>
      <c r="E174" s="16">
        <f>IF(A174="","",ROUND(D174-$B$15,9))</f>
        <v/>
      </c>
    </row>
    <row r="175">
      <c r="A175" s="16">
        <f>IF(OR(A174="",A174&gt;=$B$18),"",MIN($B$18,(FLOOR(A174/$B$19+0.000000001,1)+1)*$B$19))</f>
        <v/>
      </c>
      <c r="B175" s="17">
        <f>IF(A175="","",IF(A175&lt;0,"-","")&amp;INT(ABS(A175)/1000)&amp;"+"&amp;TEXT(MOD(ABS(A175),1000),"000.000"))</f>
        <v/>
      </c>
      <c r="C175" s="16">
        <f>IF(A175="","",A175-$B$17)</f>
        <v/>
      </c>
      <c r="D175" s="16">
        <f>IF(A175="","",ROUND($B$15+$B$25*(A175-$B$17),9))</f>
        <v/>
      </c>
      <c r="E175" s="16">
        <f>IF(A175="","",ROUND(D175-$B$15,9))</f>
        <v/>
      </c>
    </row>
    <row r="176">
      <c r="A176" s="16">
        <f>IF(OR(A175="",A175&gt;=$B$18),"",MIN($B$18,(FLOOR(A175/$B$19+0.000000001,1)+1)*$B$19))</f>
        <v/>
      </c>
      <c r="B176" s="17">
        <f>IF(A176="","",IF(A176&lt;0,"-","")&amp;INT(ABS(A176)/1000)&amp;"+"&amp;TEXT(MOD(ABS(A176),1000),"000.000"))</f>
        <v/>
      </c>
      <c r="C176" s="16">
        <f>IF(A176="","",A176-$B$17)</f>
        <v/>
      </c>
      <c r="D176" s="16">
        <f>IF(A176="","",ROUND($B$15+$B$25*(A176-$B$17),9))</f>
        <v/>
      </c>
      <c r="E176" s="16">
        <f>IF(A176="","",ROUND(D176-$B$15,9))</f>
        <v/>
      </c>
    </row>
    <row r="177">
      <c r="A177" s="16">
        <f>IF(OR(A176="",A176&gt;=$B$18),"",MIN($B$18,(FLOOR(A176/$B$19+0.000000001,1)+1)*$B$19))</f>
        <v/>
      </c>
      <c r="B177" s="17">
        <f>IF(A177="","",IF(A177&lt;0,"-","")&amp;INT(ABS(A177)/1000)&amp;"+"&amp;TEXT(MOD(ABS(A177),1000),"000.000"))</f>
        <v/>
      </c>
      <c r="C177" s="16">
        <f>IF(A177="","",A177-$B$17)</f>
        <v/>
      </c>
      <c r="D177" s="16">
        <f>IF(A177="","",ROUND($B$15+$B$25*(A177-$B$17),9))</f>
        <v/>
      </c>
      <c r="E177" s="16">
        <f>IF(A177="","",ROUND(D177-$B$15,9))</f>
        <v/>
      </c>
    </row>
    <row r="178">
      <c r="A178" s="16">
        <f>IF(OR(A177="",A177&gt;=$B$18),"",MIN($B$18,(FLOOR(A177/$B$19+0.000000001,1)+1)*$B$19))</f>
        <v/>
      </c>
      <c r="B178" s="17">
        <f>IF(A178="","",IF(A178&lt;0,"-","")&amp;INT(ABS(A178)/1000)&amp;"+"&amp;TEXT(MOD(ABS(A178),1000),"000.000"))</f>
        <v/>
      </c>
      <c r="C178" s="16">
        <f>IF(A178="","",A178-$B$17)</f>
        <v/>
      </c>
      <c r="D178" s="16">
        <f>IF(A178="","",ROUND($B$15+$B$25*(A178-$B$17),9))</f>
        <v/>
      </c>
      <c r="E178" s="16">
        <f>IF(A178="","",ROUND(D178-$B$15,9))</f>
        <v/>
      </c>
    </row>
    <row r="179">
      <c r="A179" s="16">
        <f>IF(OR(A178="",A178&gt;=$B$18),"",MIN($B$18,(FLOOR(A178/$B$19+0.000000001,1)+1)*$B$19))</f>
        <v/>
      </c>
      <c r="B179" s="17">
        <f>IF(A179="","",IF(A179&lt;0,"-","")&amp;INT(ABS(A179)/1000)&amp;"+"&amp;TEXT(MOD(ABS(A179),1000),"000.000"))</f>
        <v/>
      </c>
      <c r="C179" s="16">
        <f>IF(A179="","",A179-$B$17)</f>
        <v/>
      </c>
      <c r="D179" s="16">
        <f>IF(A179="","",ROUND($B$15+$B$25*(A179-$B$17),9))</f>
        <v/>
      </c>
      <c r="E179" s="16">
        <f>IF(A179="","",ROUND(D179-$B$15,9))</f>
        <v/>
      </c>
    </row>
    <row r="180">
      <c r="A180" s="16">
        <f>IF(OR(A179="",A179&gt;=$B$18),"",MIN($B$18,(FLOOR(A179/$B$19+0.000000001,1)+1)*$B$19))</f>
        <v/>
      </c>
      <c r="B180" s="17">
        <f>IF(A180="","",IF(A180&lt;0,"-","")&amp;INT(ABS(A180)/1000)&amp;"+"&amp;TEXT(MOD(ABS(A180),1000),"000.000"))</f>
        <v/>
      </c>
      <c r="C180" s="16">
        <f>IF(A180="","",A180-$B$17)</f>
        <v/>
      </c>
      <c r="D180" s="16">
        <f>IF(A180="","",ROUND($B$15+$B$25*(A180-$B$17),9))</f>
        <v/>
      </c>
      <c r="E180" s="16">
        <f>IF(A180="","",ROUND(D180-$B$15,9))</f>
        <v/>
      </c>
    </row>
    <row r="181">
      <c r="A181" s="16">
        <f>IF(OR(A180="",A180&gt;=$B$18),"",MIN($B$18,(FLOOR(A180/$B$19+0.000000001,1)+1)*$B$19))</f>
        <v/>
      </c>
      <c r="B181" s="17">
        <f>IF(A181="","",IF(A181&lt;0,"-","")&amp;INT(ABS(A181)/1000)&amp;"+"&amp;TEXT(MOD(ABS(A181),1000),"000.000"))</f>
        <v/>
      </c>
      <c r="C181" s="16">
        <f>IF(A181="","",A181-$B$17)</f>
        <v/>
      </c>
      <c r="D181" s="16">
        <f>IF(A181="","",ROUND($B$15+$B$25*(A181-$B$17),9))</f>
        <v/>
      </c>
      <c r="E181" s="16">
        <f>IF(A181="","",ROUND(D181-$B$15,9))</f>
        <v/>
      </c>
    </row>
    <row r="182">
      <c r="A182" s="16">
        <f>IF(OR(A181="",A181&gt;=$B$18),"",MIN($B$18,(FLOOR(A181/$B$19+0.000000001,1)+1)*$B$19))</f>
        <v/>
      </c>
      <c r="B182" s="17">
        <f>IF(A182="","",IF(A182&lt;0,"-","")&amp;INT(ABS(A182)/1000)&amp;"+"&amp;TEXT(MOD(ABS(A182),1000),"000.000"))</f>
        <v/>
      </c>
      <c r="C182" s="16">
        <f>IF(A182="","",A182-$B$17)</f>
        <v/>
      </c>
      <c r="D182" s="16">
        <f>IF(A182="","",ROUND($B$15+$B$25*(A182-$B$17),9))</f>
        <v/>
      </c>
      <c r="E182" s="16">
        <f>IF(A182="","",ROUND(D182-$B$15,9))</f>
        <v/>
      </c>
    </row>
    <row r="183">
      <c r="A183" s="16">
        <f>IF(OR(A182="",A182&gt;=$B$18),"",MIN($B$18,(FLOOR(A182/$B$19+0.000000001,1)+1)*$B$19))</f>
        <v/>
      </c>
      <c r="B183" s="17">
        <f>IF(A183="","",IF(A183&lt;0,"-","")&amp;INT(ABS(A183)/1000)&amp;"+"&amp;TEXT(MOD(ABS(A183),1000),"000.000"))</f>
        <v/>
      </c>
      <c r="C183" s="16">
        <f>IF(A183="","",A183-$B$17)</f>
        <v/>
      </c>
      <c r="D183" s="16">
        <f>IF(A183="","",ROUND($B$15+$B$25*(A183-$B$17),9))</f>
        <v/>
      </c>
      <c r="E183" s="16">
        <f>IF(A183="","",ROUND(D183-$B$15,9))</f>
        <v/>
      </c>
    </row>
    <row r="184">
      <c r="A184" s="16">
        <f>IF(OR(A183="",A183&gt;=$B$18),"",MIN($B$18,(FLOOR(A183/$B$19+0.000000001,1)+1)*$B$19))</f>
        <v/>
      </c>
      <c r="B184" s="17">
        <f>IF(A184="","",IF(A184&lt;0,"-","")&amp;INT(ABS(A184)/1000)&amp;"+"&amp;TEXT(MOD(ABS(A184),1000),"000.000"))</f>
        <v/>
      </c>
      <c r="C184" s="16">
        <f>IF(A184="","",A184-$B$17)</f>
        <v/>
      </c>
      <c r="D184" s="16">
        <f>IF(A184="","",ROUND($B$15+$B$25*(A184-$B$17),9))</f>
        <v/>
      </c>
      <c r="E184" s="16">
        <f>IF(A184="","",ROUND(D184-$B$15,9))</f>
        <v/>
      </c>
    </row>
    <row r="185">
      <c r="A185" s="16">
        <f>IF(OR(A184="",A184&gt;=$B$18),"",MIN($B$18,(FLOOR(A184/$B$19+0.000000001,1)+1)*$B$19))</f>
        <v/>
      </c>
      <c r="B185" s="17">
        <f>IF(A185="","",IF(A185&lt;0,"-","")&amp;INT(ABS(A185)/1000)&amp;"+"&amp;TEXT(MOD(ABS(A185),1000),"000.000"))</f>
        <v/>
      </c>
      <c r="C185" s="16">
        <f>IF(A185="","",A185-$B$17)</f>
        <v/>
      </c>
      <c r="D185" s="16">
        <f>IF(A185="","",ROUND($B$15+$B$25*(A185-$B$17),9))</f>
        <v/>
      </c>
      <c r="E185" s="16">
        <f>IF(A185="","",ROUND(D185-$B$15,9))</f>
        <v/>
      </c>
    </row>
    <row r="186">
      <c r="A186" s="16">
        <f>IF(OR(A185="",A185&gt;=$B$18),"",MIN($B$18,(FLOOR(A185/$B$19+0.000000001,1)+1)*$B$19))</f>
        <v/>
      </c>
      <c r="B186" s="17">
        <f>IF(A186="","",IF(A186&lt;0,"-","")&amp;INT(ABS(A186)/1000)&amp;"+"&amp;TEXT(MOD(ABS(A186),1000),"000.000"))</f>
        <v/>
      </c>
      <c r="C186" s="16">
        <f>IF(A186="","",A186-$B$17)</f>
        <v/>
      </c>
      <c r="D186" s="16">
        <f>IF(A186="","",ROUND($B$15+$B$25*(A186-$B$17),9))</f>
        <v/>
      </c>
      <c r="E186" s="16">
        <f>IF(A186="","",ROUND(D186-$B$15,9))</f>
        <v/>
      </c>
    </row>
    <row r="187">
      <c r="A187" s="16">
        <f>IF(OR(A186="",A186&gt;=$B$18),"",MIN($B$18,(FLOOR(A186/$B$19+0.000000001,1)+1)*$B$19))</f>
        <v/>
      </c>
      <c r="B187" s="17">
        <f>IF(A187="","",IF(A187&lt;0,"-","")&amp;INT(ABS(A187)/1000)&amp;"+"&amp;TEXT(MOD(ABS(A187),1000),"000.000"))</f>
        <v/>
      </c>
      <c r="C187" s="16">
        <f>IF(A187="","",A187-$B$17)</f>
        <v/>
      </c>
      <c r="D187" s="16">
        <f>IF(A187="","",ROUND($B$15+$B$25*(A187-$B$17),9))</f>
        <v/>
      </c>
      <c r="E187" s="16">
        <f>IF(A187="","",ROUND(D187-$B$15,9))</f>
        <v/>
      </c>
    </row>
    <row r="188">
      <c r="A188" s="16">
        <f>IF(OR(A187="",A187&gt;=$B$18),"",MIN($B$18,(FLOOR(A187/$B$19+0.000000001,1)+1)*$B$19))</f>
        <v/>
      </c>
      <c r="B188" s="17">
        <f>IF(A188="","",IF(A188&lt;0,"-","")&amp;INT(ABS(A188)/1000)&amp;"+"&amp;TEXT(MOD(ABS(A188),1000),"000.000"))</f>
        <v/>
      </c>
      <c r="C188" s="16">
        <f>IF(A188="","",A188-$B$17)</f>
        <v/>
      </c>
      <c r="D188" s="16">
        <f>IF(A188="","",ROUND($B$15+$B$25*(A188-$B$17),9))</f>
        <v/>
      </c>
      <c r="E188" s="16">
        <f>IF(A188="","",ROUND(D188-$B$15,9))</f>
        <v/>
      </c>
    </row>
    <row r="189">
      <c r="A189" s="16">
        <f>IF(OR(A188="",A188&gt;=$B$18),"",MIN($B$18,(FLOOR(A188/$B$19+0.000000001,1)+1)*$B$19))</f>
        <v/>
      </c>
      <c r="B189" s="17">
        <f>IF(A189="","",IF(A189&lt;0,"-","")&amp;INT(ABS(A189)/1000)&amp;"+"&amp;TEXT(MOD(ABS(A189),1000),"000.000"))</f>
        <v/>
      </c>
      <c r="C189" s="16">
        <f>IF(A189="","",A189-$B$17)</f>
        <v/>
      </c>
      <c r="D189" s="16">
        <f>IF(A189="","",ROUND($B$15+$B$25*(A189-$B$17),9))</f>
        <v/>
      </c>
      <c r="E189" s="16">
        <f>IF(A189="","",ROUND(D189-$B$15,9))</f>
        <v/>
      </c>
    </row>
    <row r="190">
      <c r="A190" s="16">
        <f>IF(OR(A189="",A189&gt;=$B$18),"",MIN($B$18,(FLOOR(A189/$B$19+0.000000001,1)+1)*$B$19))</f>
        <v/>
      </c>
      <c r="B190" s="17">
        <f>IF(A190="","",IF(A190&lt;0,"-","")&amp;INT(ABS(A190)/1000)&amp;"+"&amp;TEXT(MOD(ABS(A190),1000),"000.000"))</f>
        <v/>
      </c>
      <c r="C190" s="16">
        <f>IF(A190="","",A190-$B$17)</f>
        <v/>
      </c>
      <c r="D190" s="16">
        <f>IF(A190="","",ROUND($B$15+$B$25*(A190-$B$17),9))</f>
        <v/>
      </c>
      <c r="E190" s="16">
        <f>IF(A190="","",ROUND(D190-$B$15,9))</f>
        <v/>
      </c>
    </row>
    <row r="191">
      <c r="A191" s="16">
        <f>IF(OR(A190="",A190&gt;=$B$18),"",MIN($B$18,(FLOOR(A190/$B$19+0.000000001,1)+1)*$B$19))</f>
        <v/>
      </c>
      <c r="B191" s="17">
        <f>IF(A191="","",IF(A191&lt;0,"-","")&amp;INT(ABS(A191)/1000)&amp;"+"&amp;TEXT(MOD(ABS(A191),1000),"000.000"))</f>
        <v/>
      </c>
      <c r="C191" s="16">
        <f>IF(A191="","",A191-$B$17)</f>
        <v/>
      </c>
      <c r="D191" s="16">
        <f>IF(A191="","",ROUND($B$15+$B$25*(A191-$B$17),9))</f>
        <v/>
      </c>
      <c r="E191" s="16">
        <f>IF(A191="","",ROUND(D191-$B$15,9))</f>
        <v/>
      </c>
    </row>
    <row r="192">
      <c r="A192" s="16">
        <f>IF(OR(A191="",A191&gt;=$B$18),"",MIN($B$18,(FLOOR(A191/$B$19+0.000000001,1)+1)*$B$19))</f>
        <v/>
      </c>
      <c r="B192" s="17">
        <f>IF(A192="","",IF(A192&lt;0,"-","")&amp;INT(ABS(A192)/1000)&amp;"+"&amp;TEXT(MOD(ABS(A192),1000),"000.000"))</f>
        <v/>
      </c>
      <c r="C192" s="16">
        <f>IF(A192="","",A192-$B$17)</f>
        <v/>
      </c>
      <c r="D192" s="16">
        <f>IF(A192="","",ROUND($B$15+$B$25*(A192-$B$17),9))</f>
        <v/>
      </c>
      <c r="E192" s="16">
        <f>IF(A192="","",ROUND(D192-$B$15,9))</f>
        <v/>
      </c>
    </row>
    <row r="193">
      <c r="A193" s="16">
        <f>IF(OR(A192="",A192&gt;=$B$18),"",MIN($B$18,(FLOOR(A192/$B$19+0.000000001,1)+1)*$B$19))</f>
        <v/>
      </c>
      <c r="B193" s="17">
        <f>IF(A193="","",IF(A193&lt;0,"-","")&amp;INT(ABS(A193)/1000)&amp;"+"&amp;TEXT(MOD(ABS(A193),1000),"000.000"))</f>
        <v/>
      </c>
      <c r="C193" s="16">
        <f>IF(A193="","",A193-$B$17)</f>
        <v/>
      </c>
      <c r="D193" s="16">
        <f>IF(A193="","",ROUND($B$15+$B$25*(A193-$B$17),9))</f>
        <v/>
      </c>
      <c r="E193" s="16">
        <f>IF(A193="","",ROUND(D193-$B$15,9))</f>
        <v/>
      </c>
    </row>
    <row r="194">
      <c r="A194" s="16">
        <f>IF(OR(A193="",A193&gt;=$B$18),"",MIN($B$18,(FLOOR(A193/$B$19+0.000000001,1)+1)*$B$19))</f>
        <v/>
      </c>
      <c r="B194" s="17">
        <f>IF(A194="","",IF(A194&lt;0,"-","")&amp;INT(ABS(A194)/1000)&amp;"+"&amp;TEXT(MOD(ABS(A194),1000),"000.000"))</f>
        <v/>
      </c>
      <c r="C194" s="16">
        <f>IF(A194="","",A194-$B$17)</f>
        <v/>
      </c>
      <c r="D194" s="16">
        <f>IF(A194="","",ROUND($B$15+$B$25*(A194-$B$17),9))</f>
        <v/>
      </c>
      <c r="E194" s="16">
        <f>IF(A194="","",ROUND(D194-$B$15,9))</f>
        <v/>
      </c>
    </row>
    <row r="195">
      <c r="A195" s="16">
        <f>IF(OR(A194="",A194&gt;=$B$18),"",MIN($B$18,(FLOOR(A194/$B$19+0.000000001,1)+1)*$B$19))</f>
        <v/>
      </c>
      <c r="B195" s="17">
        <f>IF(A195="","",IF(A195&lt;0,"-","")&amp;INT(ABS(A195)/1000)&amp;"+"&amp;TEXT(MOD(ABS(A195),1000),"000.000"))</f>
        <v/>
      </c>
      <c r="C195" s="16">
        <f>IF(A195="","",A195-$B$17)</f>
        <v/>
      </c>
      <c r="D195" s="16">
        <f>IF(A195="","",ROUND($B$15+$B$25*(A195-$B$17),9))</f>
        <v/>
      </c>
      <c r="E195" s="16">
        <f>IF(A195="","",ROUND(D195-$B$15,9))</f>
        <v/>
      </c>
    </row>
    <row r="196">
      <c r="A196" s="16">
        <f>IF(OR(A195="",A195&gt;=$B$18),"",MIN($B$18,(FLOOR(A195/$B$19+0.000000001,1)+1)*$B$19))</f>
        <v/>
      </c>
      <c r="B196" s="17">
        <f>IF(A196="","",IF(A196&lt;0,"-","")&amp;INT(ABS(A196)/1000)&amp;"+"&amp;TEXT(MOD(ABS(A196),1000),"000.000"))</f>
        <v/>
      </c>
      <c r="C196" s="16">
        <f>IF(A196="","",A196-$B$17)</f>
        <v/>
      </c>
      <c r="D196" s="16">
        <f>IF(A196="","",ROUND($B$15+$B$25*(A196-$B$17),9))</f>
        <v/>
      </c>
      <c r="E196" s="16">
        <f>IF(A196="","",ROUND(D196-$B$15,9))</f>
        <v/>
      </c>
    </row>
    <row r="197">
      <c r="A197" s="16">
        <f>IF(OR(A196="",A196&gt;=$B$18),"",MIN($B$18,(FLOOR(A196/$B$19+0.000000001,1)+1)*$B$19))</f>
        <v/>
      </c>
      <c r="B197" s="17">
        <f>IF(A197="","",IF(A197&lt;0,"-","")&amp;INT(ABS(A197)/1000)&amp;"+"&amp;TEXT(MOD(ABS(A197),1000),"000.000"))</f>
        <v/>
      </c>
      <c r="C197" s="16">
        <f>IF(A197="","",A197-$B$17)</f>
        <v/>
      </c>
      <c r="D197" s="16">
        <f>IF(A197="","",ROUND($B$15+$B$25*(A197-$B$17),9))</f>
        <v/>
      </c>
      <c r="E197" s="16">
        <f>IF(A197="","",ROUND(D197-$B$15,9))</f>
        <v/>
      </c>
    </row>
    <row r="198">
      <c r="A198" s="16">
        <f>IF(OR(A197="",A197&gt;=$B$18),"",MIN($B$18,(FLOOR(A197/$B$19+0.000000001,1)+1)*$B$19))</f>
        <v/>
      </c>
      <c r="B198" s="17">
        <f>IF(A198="","",IF(A198&lt;0,"-","")&amp;INT(ABS(A198)/1000)&amp;"+"&amp;TEXT(MOD(ABS(A198),1000),"000.000"))</f>
        <v/>
      </c>
      <c r="C198" s="16">
        <f>IF(A198="","",A198-$B$17)</f>
        <v/>
      </c>
      <c r="D198" s="16">
        <f>IF(A198="","",ROUND($B$15+$B$25*(A198-$B$17),9))</f>
        <v/>
      </c>
      <c r="E198" s="16">
        <f>IF(A198="","",ROUND(D198-$B$15,9))</f>
        <v/>
      </c>
    </row>
    <row r="199">
      <c r="A199" s="16">
        <f>IF(OR(A198="",A198&gt;=$B$18),"",MIN($B$18,(FLOOR(A198/$B$19+0.000000001,1)+1)*$B$19))</f>
        <v/>
      </c>
      <c r="B199" s="17">
        <f>IF(A199="","",IF(A199&lt;0,"-","")&amp;INT(ABS(A199)/1000)&amp;"+"&amp;TEXT(MOD(ABS(A199),1000),"000.000"))</f>
        <v/>
      </c>
      <c r="C199" s="16">
        <f>IF(A199="","",A199-$B$17)</f>
        <v/>
      </c>
      <c r="D199" s="16">
        <f>IF(A199="","",ROUND($B$15+$B$25*(A199-$B$17),9))</f>
        <v/>
      </c>
      <c r="E199" s="16">
        <f>IF(A199="","",ROUND(D199-$B$15,9))</f>
        <v/>
      </c>
    </row>
    <row r="200">
      <c r="A200" s="16">
        <f>IF(OR(A199="",A199&gt;=$B$18),"",MIN($B$18,(FLOOR(A199/$B$19+0.000000001,1)+1)*$B$19))</f>
        <v/>
      </c>
      <c r="B200" s="17">
        <f>IF(A200="","",IF(A200&lt;0,"-","")&amp;INT(ABS(A200)/1000)&amp;"+"&amp;TEXT(MOD(ABS(A200),1000),"000.000"))</f>
        <v/>
      </c>
      <c r="C200" s="16">
        <f>IF(A200="","",A200-$B$17)</f>
        <v/>
      </c>
      <c r="D200" s="16">
        <f>IF(A200="","",ROUND($B$15+$B$25*(A200-$B$17),9))</f>
        <v/>
      </c>
      <c r="E200" s="16">
        <f>IF(A200="","",ROUND(D200-$B$15,9))</f>
        <v/>
      </c>
    </row>
    <row r="201">
      <c r="A201" s="16">
        <f>IF(OR(A200="",A200&gt;=$B$18),"",MIN($B$18,(FLOOR(A200/$B$19+0.000000001,1)+1)*$B$19))</f>
        <v/>
      </c>
      <c r="B201" s="17">
        <f>IF(A201="","",IF(A201&lt;0,"-","")&amp;INT(ABS(A201)/1000)&amp;"+"&amp;TEXT(MOD(ABS(A201),1000),"000.000"))</f>
        <v/>
      </c>
      <c r="C201" s="16">
        <f>IF(A201="","",A201-$B$17)</f>
        <v/>
      </c>
      <c r="D201" s="16">
        <f>IF(A201="","",ROUND($B$15+$B$25*(A201-$B$17),9))</f>
        <v/>
      </c>
      <c r="E201" s="16">
        <f>IF(A201="","",ROUND(D201-$B$15,9))</f>
        <v/>
      </c>
    </row>
    <row r="202">
      <c r="A202" s="16">
        <f>IF(OR(A201="",A201&gt;=$B$18),"",MIN($B$18,(FLOOR(A201/$B$19+0.000000001,1)+1)*$B$19))</f>
        <v/>
      </c>
      <c r="B202" s="17">
        <f>IF(A202="","",IF(A202&lt;0,"-","")&amp;INT(ABS(A202)/1000)&amp;"+"&amp;TEXT(MOD(ABS(A202),1000),"000.000"))</f>
        <v/>
      </c>
      <c r="C202" s="16">
        <f>IF(A202="","",A202-$B$17)</f>
        <v/>
      </c>
      <c r="D202" s="16">
        <f>IF(A202="","",ROUND($B$15+$B$25*(A202-$B$17),9))</f>
        <v/>
      </c>
      <c r="E202" s="16">
        <f>IF(A202="","",ROUND(D202-$B$15,9))</f>
        <v/>
      </c>
    </row>
    <row r="203">
      <c r="A203" s="16">
        <f>IF(OR(A202="",A202&gt;=$B$18),"",MIN($B$18,(FLOOR(A202/$B$19+0.000000001,1)+1)*$B$19))</f>
        <v/>
      </c>
      <c r="B203" s="17">
        <f>IF(A203="","",IF(A203&lt;0,"-","")&amp;INT(ABS(A203)/1000)&amp;"+"&amp;TEXT(MOD(ABS(A203),1000),"000.000"))</f>
        <v/>
      </c>
      <c r="C203" s="16">
        <f>IF(A203="","",A203-$B$17)</f>
        <v/>
      </c>
      <c r="D203" s="16">
        <f>IF(A203="","",ROUND($B$15+$B$25*(A203-$B$17),9))</f>
        <v/>
      </c>
      <c r="E203" s="16">
        <f>IF(A203="","",ROUND(D203-$B$15,9))</f>
        <v/>
      </c>
    </row>
    <row r="204">
      <c r="A204" s="16">
        <f>IF(OR(A203="",A203&gt;=$B$18),"",MIN($B$18,(FLOOR(A203/$B$19+0.000000001,1)+1)*$B$19))</f>
        <v/>
      </c>
      <c r="B204" s="17">
        <f>IF(A204="","",IF(A204&lt;0,"-","")&amp;INT(ABS(A204)/1000)&amp;"+"&amp;TEXT(MOD(ABS(A204),1000),"000.000"))</f>
        <v/>
      </c>
      <c r="C204" s="16">
        <f>IF(A204="","",A204-$B$17)</f>
        <v/>
      </c>
      <c r="D204" s="16">
        <f>IF(A204="","",ROUND($B$15+$B$25*(A204-$B$17),9))</f>
        <v/>
      </c>
      <c r="E204" s="16">
        <f>IF(A204="","",ROUND(D204-$B$15,9))</f>
        <v/>
      </c>
    </row>
    <row r="205">
      <c r="A205" s="16">
        <f>IF(OR(A204="",A204&gt;=$B$18),"",MIN($B$18,(FLOOR(A204/$B$19+0.000000001,1)+1)*$B$19))</f>
        <v/>
      </c>
      <c r="B205" s="17">
        <f>IF(A205="","",IF(A205&lt;0,"-","")&amp;INT(ABS(A205)/1000)&amp;"+"&amp;TEXT(MOD(ABS(A205),1000),"000.000"))</f>
        <v/>
      </c>
      <c r="C205" s="16">
        <f>IF(A205="","",A205-$B$17)</f>
        <v/>
      </c>
      <c r="D205" s="16">
        <f>IF(A205="","",ROUND($B$15+$B$25*(A205-$B$17),9))</f>
        <v/>
      </c>
      <c r="E205" s="16">
        <f>IF(A205="","",ROUND(D205-$B$15,9))</f>
        <v/>
      </c>
    </row>
    <row r="206">
      <c r="A206" s="16">
        <f>IF(OR(A205="",A205&gt;=$B$18),"",MIN($B$18,(FLOOR(A205/$B$19+0.000000001,1)+1)*$B$19))</f>
        <v/>
      </c>
      <c r="B206" s="17">
        <f>IF(A206="","",IF(A206&lt;0,"-","")&amp;INT(ABS(A206)/1000)&amp;"+"&amp;TEXT(MOD(ABS(A206),1000),"000.000"))</f>
        <v/>
      </c>
      <c r="C206" s="16">
        <f>IF(A206="","",A206-$B$17)</f>
        <v/>
      </c>
      <c r="D206" s="16">
        <f>IF(A206="","",ROUND($B$15+$B$25*(A206-$B$17),9))</f>
        <v/>
      </c>
      <c r="E206" s="16">
        <f>IF(A206="","",ROUND(D206-$B$15,9))</f>
        <v/>
      </c>
    </row>
    <row r="207">
      <c r="A207" s="16">
        <f>IF(OR(A206="",A206&gt;=$B$18),"",MIN($B$18,(FLOOR(A206/$B$19+0.000000001,1)+1)*$B$19))</f>
        <v/>
      </c>
      <c r="B207" s="17">
        <f>IF(A207="","",IF(A207&lt;0,"-","")&amp;INT(ABS(A207)/1000)&amp;"+"&amp;TEXT(MOD(ABS(A207),1000),"000.000"))</f>
        <v/>
      </c>
      <c r="C207" s="16">
        <f>IF(A207="","",A207-$B$17)</f>
        <v/>
      </c>
      <c r="D207" s="16">
        <f>IF(A207="","",ROUND($B$15+$B$25*(A207-$B$17),9))</f>
        <v/>
      </c>
      <c r="E207" s="16">
        <f>IF(A207="","",ROUND(D207-$B$15,9))</f>
        <v/>
      </c>
    </row>
    <row r="208">
      <c r="A208" s="16">
        <f>IF(OR(A207="",A207&gt;=$B$18),"",MIN($B$18,(FLOOR(A207/$B$19+0.000000001,1)+1)*$B$19))</f>
        <v/>
      </c>
      <c r="B208" s="17">
        <f>IF(A208="","",IF(A208&lt;0,"-","")&amp;INT(ABS(A208)/1000)&amp;"+"&amp;TEXT(MOD(ABS(A208),1000),"000.000"))</f>
        <v/>
      </c>
      <c r="C208" s="16">
        <f>IF(A208="","",A208-$B$17)</f>
        <v/>
      </c>
      <c r="D208" s="16">
        <f>IF(A208="","",ROUND($B$15+$B$25*(A208-$B$17),9))</f>
        <v/>
      </c>
      <c r="E208" s="16">
        <f>IF(A208="","",ROUND(D208-$B$15,9))</f>
        <v/>
      </c>
    </row>
    <row r="209">
      <c r="A209" s="16">
        <f>IF(OR(A208="",A208&gt;=$B$18),"",MIN($B$18,(FLOOR(A208/$B$19+0.000000001,1)+1)*$B$19))</f>
        <v/>
      </c>
      <c r="B209" s="17">
        <f>IF(A209="","",IF(A209&lt;0,"-","")&amp;INT(ABS(A209)/1000)&amp;"+"&amp;TEXT(MOD(ABS(A209),1000),"000.000"))</f>
        <v/>
      </c>
      <c r="C209" s="16">
        <f>IF(A209="","",A209-$B$17)</f>
        <v/>
      </c>
      <c r="D209" s="16">
        <f>IF(A209="","",ROUND($B$15+$B$25*(A209-$B$17),9))</f>
        <v/>
      </c>
      <c r="E209" s="16">
        <f>IF(A209="","",ROUND(D209-$B$15,9))</f>
        <v/>
      </c>
    </row>
    <row r="210">
      <c r="A210" s="16">
        <f>IF(OR(A209="",A209&gt;=$B$18),"",MIN($B$18,(FLOOR(A209/$B$19+0.000000001,1)+1)*$B$19))</f>
        <v/>
      </c>
      <c r="B210" s="17">
        <f>IF(A210="","",IF(A210&lt;0,"-","")&amp;INT(ABS(A210)/1000)&amp;"+"&amp;TEXT(MOD(ABS(A210),1000),"000.000"))</f>
        <v/>
      </c>
      <c r="C210" s="16">
        <f>IF(A210="","",A210-$B$17)</f>
        <v/>
      </c>
      <c r="D210" s="16">
        <f>IF(A210="","",ROUND($B$15+$B$25*(A210-$B$17),9))</f>
        <v/>
      </c>
      <c r="E210" s="16">
        <f>IF(A210="","",ROUND(D210-$B$15,9))</f>
        <v/>
      </c>
    </row>
    <row r="211">
      <c r="A211" s="16">
        <f>IF(OR(A210="",A210&gt;=$B$18),"",MIN($B$18,(FLOOR(A210/$B$19+0.000000001,1)+1)*$B$19))</f>
        <v/>
      </c>
      <c r="B211" s="17">
        <f>IF(A211="","",IF(A211&lt;0,"-","")&amp;INT(ABS(A211)/1000)&amp;"+"&amp;TEXT(MOD(ABS(A211),1000),"000.000"))</f>
        <v/>
      </c>
      <c r="C211" s="16">
        <f>IF(A211="","",A211-$B$17)</f>
        <v/>
      </c>
      <c r="D211" s="16">
        <f>IF(A211="","",ROUND($B$15+$B$25*(A211-$B$17),9))</f>
        <v/>
      </c>
      <c r="E211" s="16">
        <f>IF(A211="","",ROUND(D211-$B$15,9))</f>
        <v/>
      </c>
    </row>
    <row r="212">
      <c r="A212" s="16">
        <f>IF(OR(A211="",A211&gt;=$B$18),"",MIN($B$18,(FLOOR(A211/$B$19+0.000000001,1)+1)*$B$19))</f>
        <v/>
      </c>
      <c r="B212" s="17">
        <f>IF(A212="","",IF(A212&lt;0,"-","")&amp;INT(ABS(A212)/1000)&amp;"+"&amp;TEXT(MOD(ABS(A212),1000),"000.000"))</f>
        <v/>
      </c>
      <c r="C212" s="16">
        <f>IF(A212="","",A212-$B$17)</f>
        <v/>
      </c>
      <c r="D212" s="16">
        <f>IF(A212="","",ROUND($B$15+$B$25*(A212-$B$17),9))</f>
        <v/>
      </c>
      <c r="E212" s="16">
        <f>IF(A212="","",ROUND(D212-$B$15,9))</f>
        <v/>
      </c>
    </row>
    <row r="213">
      <c r="A213" s="16">
        <f>IF(OR(A212="",A212&gt;=$B$18),"",MIN($B$18,(FLOOR(A212/$B$19+0.000000001,1)+1)*$B$19))</f>
        <v/>
      </c>
      <c r="B213" s="17">
        <f>IF(A213="","",IF(A213&lt;0,"-","")&amp;INT(ABS(A213)/1000)&amp;"+"&amp;TEXT(MOD(ABS(A213),1000),"000.000"))</f>
        <v/>
      </c>
      <c r="C213" s="16">
        <f>IF(A213="","",A213-$B$17)</f>
        <v/>
      </c>
      <c r="D213" s="16">
        <f>IF(A213="","",ROUND($B$15+$B$25*(A213-$B$17),9))</f>
        <v/>
      </c>
      <c r="E213" s="16">
        <f>IF(A213="","",ROUND(D213-$B$15,9))</f>
        <v/>
      </c>
    </row>
    <row r="214">
      <c r="A214" s="16">
        <f>IF(OR(A213="",A213&gt;=$B$18),"",MIN($B$18,(FLOOR(A213/$B$19+0.000000001,1)+1)*$B$19))</f>
        <v/>
      </c>
      <c r="B214" s="17">
        <f>IF(A214="","",IF(A214&lt;0,"-","")&amp;INT(ABS(A214)/1000)&amp;"+"&amp;TEXT(MOD(ABS(A214),1000),"000.000"))</f>
        <v/>
      </c>
      <c r="C214" s="16">
        <f>IF(A214="","",A214-$B$17)</f>
        <v/>
      </c>
      <c r="D214" s="16">
        <f>IF(A214="","",ROUND($B$15+$B$25*(A214-$B$17),9))</f>
        <v/>
      </c>
      <c r="E214" s="16">
        <f>IF(A214="","",ROUND(D214-$B$15,9))</f>
        <v/>
      </c>
    </row>
    <row r="215">
      <c r="A215" s="16">
        <f>IF(OR(A214="",A214&gt;=$B$18),"",MIN($B$18,(FLOOR(A214/$B$19+0.000000001,1)+1)*$B$19))</f>
        <v/>
      </c>
      <c r="B215" s="17">
        <f>IF(A215="","",IF(A215&lt;0,"-","")&amp;INT(ABS(A215)/1000)&amp;"+"&amp;TEXT(MOD(ABS(A215),1000),"000.000"))</f>
        <v/>
      </c>
      <c r="C215" s="16">
        <f>IF(A215="","",A215-$B$17)</f>
        <v/>
      </c>
      <c r="D215" s="16">
        <f>IF(A215="","",ROUND($B$15+$B$25*(A215-$B$17),9))</f>
        <v/>
      </c>
      <c r="E215" s="16">
        <f>IF(A215="","",ROUND(D215-$B$15,9))</f>
        <v/>
      </c>
    </row>
    <row r="216">
      <c r="A216" s="16">
        <f>IF(OR(A215="",A215&gt;=$B$18),"",MIN($B$18,(FLOOR(A215/$B$19+0.000000001,1)+1)*$B$19))</f>
        <v/>
      </c>
      <c r="B216" s="17">
        <f>IF(A216="","",IF(A216&lt;0,"-","")&amp;INT(ABS(A216)/1000)&amp;"+"&amp;TEXT(MOD(ABS(A216),1000),"000.000"))</f>
        <v/>
      </c>
      <c r="C216" s="16">
        <f>IF(A216="","",A216-$B$17)</f>
        <v/>
      </c>
      <c r="D216" s="16">
        <f>IF(A216="","",ROUND($B$15+$B$25*(A216-$B$17),9))</f>
        <v/>
      </c>
      <c r="E216" s="16">
        <f>IF(A216="","",ROUND(D216-$B$15,9))</f>
        <v/>
      </c>
    </row>
    <row r="217">
      <c r="A217" s="16">
        <f>IF(OR(A216="",A216&gt;=$B$18),"",MIN($B$18,(FLOOR(A216/$B$19+0.000000001,1)+1)*$B$19))</f>
        <v/>
      </c>
      <c r="B217" s="17">
        <f>IF(A217="","",IF(A217&lt;0,"-","")&amp;INT(ABS(A217)/1000)&amp;"+"&amp;TEXT(MOD(ABS(A217),1000),"000.000"))</f>
        <v/>
      </c>
      <c r="C217" s="16">
        <f>IF(A217="","",A217-$B$17)</f>
        <v/>
      </c>
      <c r="D217" s="16">
        <f>IF(A217="","",ROUND($B$15+$B$25*(A217-$B$17),9))</f>
        <v/>
      </c>
      <c r="E217" s="16">
        <f>IF(A217="","",ROUND(D217-$B$15,9))</f>
        <v/>
      </c>
    </row>
    <row r="218">
      <c r="A218" s="16">
        <f>IF(OR(A217="",A217&gt;=$B$18),"",MIN($B$18,(FLOOR(A217/$B$19+0.000000001,1)+1)*$B$19))</f>
        <v/>
      </c>
      <c r="B218" s="17">
        <f>IF(A218="","",IF(A218&lt;0,"-","")&amp;INT(ABS(A218)/1000)&amp;"+"&amp;TEXT(MOD(ABS(A218),1000),"000.000"))</f>
        <v/>
      </c>
      <c r="C218" s="16">
        <f>IF(A218="","",A218-$B$17)</f>
        <v/>
      </c>
      <c r="D218" s="16">
        <f>IF(A218="","",ROUND($B$15+$B$25*(A218-$B$17),9))</f>
        <v/>
      </c>
      <c r="E218" s="16">
        <f>IF(A218="","",ROUND(D218-$B$15,9))</f>
        <v/>
      </c>
    </row>
    <row r="219">
      <c r="A219" s="16">
        <f>IF(OR(A218="",A218&gt;=$B$18),"",MIN($B$18,(FLOOR(A218/$B$19+0.000000001,1)+1)*$B$19))</f>
        <v/>
      </c>
      <c r="B219" s="17">
        <f>IF(A219="","",IF(A219&lt;0,"-","")&amp;INT(ABS(A219)/1000)&amp;"+"&amp;TEXT(MOD(ABS(A219),1000),"000.000"))</f>
        <v/>
      </c>
      <c r="C219" s="16">
        <f>IF(A219="","",A219-$B$17)</f>
        <v/>
      </c>
      <c r="D219" s="16">
        <f>IF(A219="","",ROUND($B$15+$B$25*(A219-$B$17),9))</f>
        <v/>
      </c>
      <c r="E219" s="16">
        <f>IF(A219="","",ROUND(D219-$B$15,9))</f>
        <v/>
      </c>
    </row>
    <row r="220">
      <c r="A220" s="16">
        <f>IF(OR(A219="",A219&gt;=$B$18),"",MIN($B$18,(FLOOR(A219/$B$19+0.000000001,1)+1)*$B$19))</f>
        <v/>
      </c>
      <c r="B220" s="17">
        <f>IF(A220="","",IF(A220&lt;0,"-","")&amp;INT(ABS(A220)/1000)&amp;"+"&amp;TEXT(MOD(ABS(A220),1000),"000.000"))</f>
        <v/>
      </c>
      <c r="C220" s="16">
        <f>IF(A220="","",A220-$B$17)</f>
        <v/>
      </c>
      <c r="D220" s="16">
        <f>IF(A220="","",ROUND($B$15+$B$25*(A220-$B$17),9))</f>
        <v/>
      </c>
      <c r="E220" s="16">
        <f>IF(A220="","",ROUND(D220-$B$15,9))</f>
        <v/>
      </c>
    </row>
    <row r="221">
      <c r="A221" s="16">
        <f>IF(OR(A220="",A220&gt;=$B$18),"",MIN($B$18,(FLOOR(A220/$B$19+0.000000001,1)+1)*$B$19))</f>
        <v/>
      </c>
      <c r="B221" s="17">
        <f>IF(A221="","",IF(A221&lt;0,"-","")&amp;INT(ABS(A221)/1000)&amp;"+"&amp;TEXT(MOD(ABS(A221),1000),"000.000"))</f>
        <v/>
      </c>
      <c r="C221" s="16">
        <f>IF(A221="","",A221-$B$17)</f>
        <v/>
      </c>
      <c r="D221" s="16">
        <f>IF(A221="","",ROUND($B$15+$B$25*(A221-$B$17),9))</f>
        <v/>
      </c>
      <c r="E221" s="16">
        <f>IF(A221="","",ROUND(D221-$B$15,9))</f>
        <v/>
      </c>
    </row>
    <row r="222">
      <c r="A222" s="16">
        <f>IF(OR(A221="",A221&gt;=$B$18),"",MIN($B$18,(FLOOR(A221/$B$19+0.000000001,1)+1)*$B$19))</f>
        <v/>
      </c>
      <c r="B222" s="17">
        <f>IF(A222="","",IF(A222&lt;0,"-","")&amp;INT(ABS(A222)/1000)&amp;"+"&amp;TEXT(MOD(ABS(A222),1000),"000.000"))</f>
        <v/>
      </c>
      <c r="C222" s="16">
        <f>IF(A222="","",A222-$B$17)</f>
        <v/>
      </c>
      <c r="D222" s="16">
        <f>IF(A222="","",ROUND($B$15+$B$25*(A222-$B$17),9))</f>
        <v/>
      </c>
      <c r="E222" s="16">
        <f>IF(A222="","",ROUND(D222-$B$15,9))</f>
        <v/>
      </c>
    </row>
    <row r="223">
      <c r="A223" s="16">
        <f>IF(OR(A222="",A222&gt;=$B$18),"",MIN($B$18,(FLOOR(A222/$B$19+0.000000001,1)+1)*$B$19))</f>
        <v/>
      </c>
      <c r="B223" s="17">
        <f>IF(A223="","",IF(A223&lt;0,"-","")&amp;INT(ABS(A223)/1000)&amp;"+"&amp;TEXT(MOD(ABS(A223),1000),"000.000"))</f>
        <v/>
      </c>
      <c r="C223" s="16">
        <f>IF(A223="","",A223-$B$17)</f>
        <v/>
      </c>
      <c r="D223" s="16">
        <f>IF(A223="","",ROUND($B$15+$B$25*(A223-$B$17),9))</f>
        <v/>
      </c>
      <c r="E223" s="16">
        <f>IF(A223="","",ROUND(D223-$B$15,9))</f>
        <v/>
      </c>
    </row>
    <row r="224">
      <c r="A224" s="16">
        <f>IF(OR(A223="",A223&gt;=$B$18),"",MIN($B$18,(FLOOR(A223/$B$19+0.000000001,1)+1)*$B$19))</f>
        <v/>
      </c>
      <c r="B224" s="17">
        <f>IF(A224="","",IF(A224&lt;0,"-","")&amp;INT(ABS(A224)/1000)&amp;"+"&amp;TEXT(MOD(ABS(A224),1000),"000.000"))</f>
        <v/>
      </c>
      <c r="C224" s="16">
        <f>IF(A224="","",A224-$B$17)</f>
        <v/>
      </c>
      <c r="D224" s="16">
        <f>IF(A224="","",ROUND($B$15+$B$25*(A224-$B$17),9))</f>
        <v/>
      </c>
      <c r="E224" s="16">
        <f>IF(A224="","",ROUND(D224-$B$15,9))</f>
        <v/>
      </c>
    </row>
    <row r="225">
      <c r="A225" s="16">
        <f>IF(OR(A224="",A224&gt;=$B$18),"",MIN($B$18,(FLOOR(A224/$B$19+0.000000001,1)+1)*$B$19))</f>
        <v/>
      </c>
      <c r="B225" s="17">
        <f>IF(A225="","",IF(A225&lt;0,"-","")&amp;INT(ABS(A225)/1000)&amp;"+"&amp;TEXT(MOD(ABS(A225),1000),"000.000"))</f>
        <v/>
      </c>
      <c r="C225" s="16">
        <f>IF(A225="","",A225-$B$17)</f>
        <v/>
      </c>
      <c r="D225" s="16">
        <f>IF(A225="","",ROUND($B$15+$B$25*(A225-$B$17),9))</f>
        <v/>
      </c>
      <c r="E225" s="16">
        <f>IF(A225="","",ROUND(D225-$B$15,9))</f>
        <v/>
      </c>
    </row>
    <row r="226">
      <c r="A226" s="16">
        <f>IF(OR(A225="",A225&gt;=$B$18),"",MIN($B$18,(FLOOR(A225/$B$19+0.000000001,1)+1)*$B$19))</f>
        <v/>
      </c>
      <c r="B226" s="17">
        <f>IF(A226="","",IF(A226&lt;0,"-","")&amp;INT(ABS(A226)/1000)&amp;"+"&amp;TEXT(MOD(ABS(A226),1000),"000.000"))</f>
        <v/>
      </c>
      <c r="C226" s="16">
        <f>IF(A226="","",A226-$B$17)</f>
        <v/>
      </c>
      <c r="D226" s="16">
        <f>IF(A226="","",ROUND($B$15+$B$25*(A226-$B$17),9))</f>
        <v/>
      </c>
      <c r="E226" s="16">
        <f>IF(A226="","",ROUND(D226-$B$15,9))</f>
        <v/>
      </c>
    </row>
    <row r="227">
      <c r="A227" s="16">
        <f>IF(OR(A226="",A226&gt;=$B$18),"",MIN($B$18,(FLOOR(A226/$B$19+0.000000001,1)+1)*$B$19))</f>
        <v/>
      </c>
      <c r="B227" s="17">
        <f>IF(A227="","",IF(A227&lt;0,"-","")&amp;INT(ABS(A227)/1000)&amp;"+"&amp;TEXT(MOD(ABS(A227),1000),"000.000"))</f>
        <v/>
      </c>
      <c r="C227" s="16">
        <f>IF(A227="","",A227-$B$17)</f>
        <v/>
      </c>
      <c r="D227" s="16">
        <f>IF(A227="","",ROUND($B$15+$B$25*(A227-$B$17),9))</f>
        <v/>
      </c>
      <c r="E227" s="16">
        <f>IF(A227="","",ROUND(D227-$B$15,9))</f>
        <v/>
      </c>
    </row>
    <row r="228">
      <c r="A228" s="16">
        <f>IF(OR(A227="",A227&gt;=$B$18),"",MIN($B$18,(FLOOR(A227/$B$19+0.000000001,1)+1)*$B$19))</f>
        <v/>
      </c>
      <c r="B228" s="17">
        <f>IF(A228="","",IF(A228&lt;0,"-","")&amp;INT(ABS(A228)/1000)&amp;"+"&amp;TEXT(MOD(ABS(A228),1000),"000.000"))</f>
        <v/>
      </c>
      <c r="C228" s="16">
        <f>IF(A228="","",A228-$B$17)</f>
        <v/>
      </c>
      <c r="D228" s="16">
        <f>IF(A228="","",ROUND($B$15+$B$25*(A228-$B$17),9))</f>
        <v/>
      </c>
      <c r="E228" s="16">
        <f>IF(A228="","",ROUND(D228-$B$15,9))</f>
        <v/>
      </c>
    </row>
    <row r="229">
      <c r="A229" s="16">
        <f>IF(OR(A228="",A228&gt;=$B$18),"",MIN($B$18,(FLOOR(A228/$B$19+0.000000001,1)+1)*$B$19))</f>
        <v/>
      </c>
      <c r="B229" s="17">
        <f>IF(A229="","",IF(A229&lt;0,"-","")&amp;INT(ABS(A229)/1000)&amp;"+"&amp;TEXT(MOD(ABS(A229),1000),"000.000"))</f>
        <v/>
      </c>
      <c r="C229" s="16">
        <f>IF(A229="","",A229-$B$17)</f>
        <v/>
      </c>
      <c r="D229" s="16">
        <f>IF(A229="","",ROUND($B$15+$B$25*(A229-$B$17),9))</f>
        <v/>
      </c>
      <c r="E229" s="16">
        <f>IF(A229="","",ROUND(D229-$B$15,9))</f>
        <v/>
      </c>
    </row>
    <row r="230">
      <c r="A230" s="16">
        <f>IF(OR(A229="",A229&gt;=$B$18),"",MIN($B$18,(FLOOR(A229/$B$19+0.000000001,1)+1)*$B$19))</f>
        <v/>
      </c>
      <c r="B230" s="17">
        <f>IF(A230="","",IF(A230&lt;0,"-","")&amp;INT(ABS(A230)/1000)&amp;"+"&amp;TEXT(MOD(ABS(A230),1000),"000.000"))</f>
        <v/>
      </c>
      <c r="C230" s="16">
        <f>IF(A230="","",A230-$B$17)</f>
        <v/>
      </c>
      <c r="D230" s="16">
        <f>IF(A230="","",ROUND($B$15+$B$25*(A230-$B$17),9))</f>
        <v/>
      </c>
      <c r="E230" s="16">
        <f>IF(A230="","",ROUND(D230-$B$15,9))</f>
        <v/>
      </c>
    </row>
    <row r="231">
      <c r="A231" s="16">
        <f>IF(OR(A230="",A230&gt;=$B$18),"",MIN($B$18,(FLOOR(A230/$B$19+0.000000001,1)+1)*$B$19))</f>
        <v/>
      </c>
      <c r="B231" s="17">
        <f>IF(A231="","",IF(A231&lt;0,"-","")&amp;INT(ABS(A231)/1000)&amp;"+"&amp;TEXT(MOD(ABS(A231),1000),"000.000"))</f>
        <v/>
      </c>
      <c r="C231" s="16">
        <f>IF(A231="","",A231-$B$17)</f>
        <v/>
      </c>
      <c r="D231" s="16">
        <f>IF(A231="","",ROUND($B$15+$B$25*(A231-$B$17),9))</f>
        <v/>
      </c>
      <c r="E231" s="16">
        <f>IF(A231="","",ROUND(D231-$B$15,9))</f>
        <v/>
      </c>
    </row>
    <row r="232">
      <c r="A232" s="16">
        <f>IF(OR(A231="",A231&gt;=$B$18),"",MIN($B$18,(FLOOR(A231/$B$19+0.000000001,1)+1)*$B$19))</f>
        <v/>
      </c>
      <c r="B232" s="17">
        <f>IF(A232="","",IF(A232&lt;0,"-","")&amp;INT(ABS(A232)/1000)&amp;"+"&amp;TEXT(MOD(ABS(A232),1000),"000.000"))</f>
        <v/>
      </c>
      <c r="C232" s="16">
        <f>IF(A232="","",A232-$B$17)</f>
        <v/>
      </c>
      <c r="D232" s="16">
        <f>IF(A232="","",ROUND($B$15+$B$25*(A232-$B$17),9))</f>
        <v/>
      </c>
      <c r="E232" s="16">
        <f>IF(A232="","",ROUND(D232-$B$15,9))</f>
        <v/>
      </c>
    </row>
    <row r="233">
      <c r="A233" s="16">
        <f>IF(OR(A232="",A232&gt;=$B$18),"",MIN($B$18,(FLOOR(A232/$B$19+0.000000001,1)+1)*$B$19))</f>
        <v/>
      </c>
      <c r="B233" s="17">
        <f>IF(A233="","",IF(A233&lt;0,"-","")&amp;INT(ABS(A233)/1000)&amp;"+"&amp;TEXT(MOD(ABS(A233),1000),"000.000"))</f>
        <v/>
      </c>
      <c r="C233" s="16">
        <f>IF(A233="","",A233-$B$17)</f>
        <v/>
      </c>
      <c r="D233" s="16">
        <f>IF(A233="","",ROUND($B$15+$B$25*(A233-$B$17),9))</f>
        <v/>
      </c>
      <c r="E233" s="16">
        <f>IF(A233="","",ROUND(D233-$B$15,9))</f>
        <v/>
      </c>
    </row>
    <row r="234">
      <c r="A234" s="16">
        <f>IF(OR(A233="",A233&gt;=$B$18),"",MIN($B$18,(FLOOR(A233/$B$19+0.000000001,1)+1)*$B$19))</f>
        <v/>
      </c>
      <c r="B234" s="17">
        <f>IF(A234="","",IF(A234&lt;0,"-","")&amp;INT(ABS(A234)/1000)&amp;"+"&amp;TEXT(MOD(ABS(A234),1000),"000.000"))</f>
        <v/>
      </c>
      <c r="C234" s="16">
        <f>IF(A234="","",A234-$B$17)</f>
        <v/>
      </c>
      <c r="D234" s="16">
        <f>IF(A234="","",ROUND($B$15+$B$25*(A234-$B$17),9))</f>
        <v/>
      </c>
      <c r="E234" s="16">
        <f>IF(A234="","",ROUND(D234-$B$15,9))</f>
        <v/>
      </c>
    </row>
    <row r="235">
      <c r="A235" s="16">
        <f>IF(OR(A234="",A234&gt;=$B$18),"",MIN($B$18,(FLOOR(A234/$B$19+0.000000001,1)+1)*$B$19))</f>
        <v/>
      </c>
      <c r="B235" s="17">
        <f>IF(A235="","",IF(A235&lt;0,"-","")&amp;INT(ABS(A235)/1000)&amp;"+"&amp;TEXT(MOD(ABS(A235),1000),"000.000"))</f>
        <v/>
      </c>
      <c r="C235" s="16">
        <f>IF(A235="","",A235-$B$17)</f>
        <v/>
      </c>
      <c r="D235" s="16">
        <f>IF(A235="","",ROUND($B$15+$B$25*(A235-$B$17),9))</f>
        <v/>
      </c>
      <c r="E235" s="16">
        <f>IF(A235="","",ROUND(D235-$B$15,9))</f>
        <v/>
      </c>
    </row>
    <row r="236">
      <c r="A236" s="16">
        <f>IF(OR(A235="",A235&gt;=$B$18),"",MIN($B$18,(FLOOR(A235/$B$19+0.000000001,1)+1)*$B$19))</f>
        <v/>
      </c>
      <c r="B236" s="17">
        <f>IF(A236="","",IF(A236&lt;0,"-","")&amp;INT(ABS(A236)/1000)&amp;"+"&amp;TEXT(MOD(ABS(A236),1000),"000.000"))</f>
        <v/>
      </c>
      <c r="C236" s="16">
        <f>IF(A236="","",A236-$B$17)</f>
        <v/>
      </c>
      <c r="D236" s="16">
        <f>IF(A236="","",ROUND($B$15+$B$25*(A236-$B$17),9))</f>
        <v/>
      </c>
      <c r="E236" s="16">
        <f>IF(A236="","",ROUND(D236-$B$15,9))</f>
        <v/>
      </c>
    </row>
    <row r="237">
      <c r="A237" s="16">
        <f>IF(OR(A236="",A236&gt;=$B$18),"",MIN($B$18,(FLOOR(A236/$B$19+0.000000001,1)+1)*$B$19))</f>
        <v/>
      </c>
      <c r="B237" s="17">
        <f>IF(A237="","",IF(A237&lt;0,"-","")&amp;INT(ABS(A237)/1000)&amp;"+"&amp;TEXT(MOD(ABS(A237),1000),"000.000"))</f>
        <v/>
      </c>
      <c r="C237" s="16">
        <f>IF(A237="","",A237-$B$17)</f>
        <v/>
      </c>
      <c r="D237" s="16">
        <f>IF(A237="","",ROUND($B$15+$B$25*(A237-$B$17),9))</f>
        <v/>
      </c>
      <c r="E237" s="16">
        <f>IF(A237="","",ROUND(D237-$B$15,9))</f>
        <v/>
      </c>
    </row>
    <row r="238">
      <c r="A238" s="16">
        <f>IF(OR(A237="",A237&gt;=$B$18),"",MIN($B$18,(FLOOR(A237/$B$19+0.000000001,1)+1)*$B$19))</f>
        <v/>
      </c>
      <c r="B238" s="17">
        <f>IF(A238="","",IF(A238&lt;0,"-","")&amp;INT(ABS(A238)/1000)&amp;"+"&amp;TEXT(MOD(ABS(A238),1000),"000.000"))</f>
        <v/>
      </c>
      <c r="C238" s="16">
        <f>IF(A238="","",A238-$B$17)</f>
        <v/>
      </c>
      <c r="D238" s="16">
        <f>IF(A238="","",ROUND($B$15+$B$25*(A238-$B$17),9))</f>
        <v/>
      </c>
      <c r="E238" s="16">
        <f>IF(A238="","",ROUND(D238-$B$15,9))</f>
        <v/>
      </c>
    </row>
    <row r="239">
      <c r="A239" s="16">
        <f>IF(OR(A238="",A238&gt;=$B$18),"",MIN($B$18,(FLOOR(A238/$B$19+0.000000001,1)+1)*$B$19))</f>
        <v/>
      </c>
      <c r="B239" s="17">
        <f>IF(A239="","",IF(A239&lt;0,"-","")&amp;INT(ABS(A239)/1000)&amp;"+"&amp;TEXT(MOD(ABS(A239),1000),"000.000"))</f>
        <v/>
      </c>
      <c r="C239" s="16">
        <f>IF(A239="","",A239-$B$17)</f>
        <v/>
      </c>
      <c r="D239" s="16">
        <f>IF(A239="","",ROUND($B$15+$B$25*(A239-$B$17),9))</f>
        <v/>
      </c>
      <c r="E239" s="16">
        <f>IF(A239="","",ROUND(D239-$B$15,9))</f>
        <v/>
      </c>
    </row>
    <row r="240">
      <c r="A240" s="16">
        <f>IF(OR(A239="",A239&gt;=$B$18),"",MIN($B$18,(FLOOR(A239/$B$19+0.000000001,1)+1)*$B$19))</f>
        <v/>
      </c>
      <c r="B240" s="17">
        <f>IF(A240="","",IF(A240&lt;0,"-","")&amp;INT(ABS(A240)/1000)&amp;"+"&amp;TEXT(MOD(ABS(A240),1000),"000.000"))</f>
        <v/>
      </c>
      <c r="C240" s="16">
        <f>IF(A240="","",A240-$B$17)</f>
        <v/>
      </c>
      <c r="D240" s="16">
        <f>IF(A240="","",ROUND($B$15+$B$25*(A240-$B$17),9))</f>
        <v/>
      </c>
      <c r="E240" s="16">
        <f>IF(A240="","",ROUND(D240-$B$15,9))</f>
        <v/>
      </c>
    </row>
    <row r="241">
      <c r="A241" s="16">
        <f>IF(OR(A240="",A240&gt;=$B$18),"",MIN($B$18,(FLOOR(A240/$B$19+0.000000001,1)+1)*$B$19))</f>
        <v/>
      </c>
      <c r="B241" s="17">
        <f>IF(A241="","",IF(A241&lt;0,"-","")&amp;INT(ABS(A241)/1000)&amp;"+"&amp;TEXT(MOD(ABS(A241),1000),"000.000"))</f>
        <v/>
      </c>
      <c r="C241" s="16">
        <f>IF(A241="","",A241-$B$17)</f>
        <v/>
      </c>
      <c r="D241" s="16">
        <f>IF(A241="","",ROUND($B$15+$B$25*(A241-$B$17),9))</f>
        <v/>
      </c>
      <c r="E241" s="16">
        <f>IF(A241="","",ROUND(D241-$B$15,9))</f>
        <v/>
      </c>
    </row>
    <row r="242">
      <c r="A242" s="16">
        <f>IF(OR(A241="",A241&gt;=$B$18),"",MIN($B$18,(FLOOR(A241/$B$19+0.000000001,1)+1)*$B$19))</f>
        <v/>
      </c>
      <c r="B242" s="17">
        <f>IF(A242="","",IF(A242&lt;0,"-","")&amp;INT(ABS(A242)/1000)&amp;"+"&amp;TEXT(MOD(ABS(A242),1000),"000.000"))</f>
        <v/>
      </c>
      <c r="C242" s="16">
        <f>IF(A242="","",A242-$B$17)</f>
        <v/>
      </c>
      <c r="D242" s="16">
        <f>IF(A242="","",ROUND($B$15+$B$25*(A242-$B$17),9))</f>
        <v/>
      </c>
      <c r="E242" s="16">
        <f>IF(A242="","",ROUND(D242-$B$15,9))</f>
        <v/>
      </c>
    </row>
    <row r="243">
      <c r="A243" s="16">
        <f>IF(OR(A242="",A242&gt;=$B$18),"",MIN($B$18,(FLOOR(A242/$B$19+0.000000001,1)+1)*$B$19))</f>
        <v/>
      </c>
      <c r="B243" s="17">
        <f>IF(A243="","",IF(A243&lt;0,"-","")&amp;INT(ABS(A243)/1000)&amp;"+"&amp;TEXT(MOD(ABS(A243),1000),"000.000"))</f>
        <v/>
      </c>
      <c r="C243" s="16">
        <f>IF(A243="","",A243-$B$17)</f>
        <v/>
      </c>
      <c r="D243" s="16">
        <f>IF(A243="","",ROUND($B$15+$B$25*(A243-$B$17),9))</f>
        <v/>
      </c>
      <c r="E243" s="16">
        <f>IF(A243="","",ROUND(D243-$B$15,9))</f>
        <v/>
      </c>
    </row>
    <row r="244">
      <c r="A244" s="16">
        <f>IF(OR(A243="",A243&gt;=$B$18),"",MIN($B$18,(FLOOR(A243/$B$19+0.000000001,1)+1)*$B$19))</f>
        <v/>
      </c>
      <c r="B244" s="17">
        <f>IF(A244="","",IF(A244&lt;0,"-","")&amp;INT(ABS(A244)/1000)&amp;"+"&amp;TEXT(MOD(ABS(A244),1000),"000.000"))</f>
        <v/>
      </c>
      <c r="C244" s="16">
        <f>IF(A244="","",A244-$B$17)</f>
        <v/>
      </c>
      <c r="D244" s="16">
        <f>IF(A244="","",ROUND($B$15+$B$25*(A244-$B$17),9))</f>
        <v/>
      </c>
      <c r="E244" s="16">
        <f>IF(A244="","",ROUND(D244-$B$15,9))</f>
        <v/>
      </c>
    </row>
    <row r="245">
      <c r="A245" s="16">
        <f>IF(OR(A244="",A244&gt;=$B$18),"",MIN($B$18,(FLOOR(A244/$B$19+0.000000001,1)+1)*$B$19))</f>
        <v/>
      </c>
      <c r="B245" s="17">
        <f>IF(A245="","",IF(A245&lt;0,"-","")&amp;INT(ABS(A245)/1000)&amp;"+"&amp;TEXT(MOD(ABS(A245),1000),"000.000"))</f>
        <v/>
      </c>
      <c r="C245" s="16">
        <f>IF(A245="","",A245-$B$17)</f>
        <v/>
      </c>
      <c r="D245" s="16">
        <f>IF(A245="","",ROUND($B$15+$B$25*(A245-$B$17),9))</f>
        <v/>
      </c>
      <c r="E245" s="16">
        <f>IF(A245="","",ROUND(D245-$B$15,9))</f>
        <v/>
      </c>
    </row>
    <row r="246">
      <c r="A246" s="16">
        <f>IF(OR(A245="",A245&gt;=$B$18),"",MIN($B$18,(FLOOR(A245/$B$19+0.000000001,1)+1)*$B$19))</f>
        <v/>
      </c>
      <c r="B246" s="17">
        <f>IF(A246="","",IF(A246&lt;0,"-","")&amp;INT(ABS(A246)/1000)&amp;"+"&amp;TEXT(MOD(ABS(A246),1000),"000.000"))</f>
        <v/>
      </c>
      <c r="C246" s="16">
        <f>IF(A246="","",A246-$B$17)</f>
        <v/>
      </c>
      <c r="D246" s="16">
        <f>IF(A246="","",ROUND($B$15+$B$25*(A246-$B$17),9))</f>
        <v/>
      </c>
      <c r="E246" s="16">
        <f>IF(A246="","",ROUND(D246-$B$15,9))</f>
        <v/>
      </c>
    </row>
    <row r="247">
      <c r="A247" s="16">
        <f>IF(OR(A246="",A246&gt;=$B$18),"",MIN($B$18,(FLOOR(A246/$B$19+0.000000001,1)+1)*$B$19))</f>
        <v/>
      </c>
      <c r="B247" s="17">
        <f>IF(A247="","",IF(A247&lt;0,"-","")&amp;INT(ABS(A247)/1000)&amp;"+"&amp;TEXT(MOD(ABS(A247),1000),"000.000"))</f>
        <v/>
      </c>
      <c r="C247" s="16">
        <f>IF(A247="","",A247-$B$17)</f>
        <v/>
      </c>
      <c r="D247" s="16">
        <f>IF(A247="","",ROUND($B$15+$B$25*(A247-$B$17),9))</f>
        <v/>
      </c>
      <c r="E247" s="16">
        <f>IF(A247="","",ROUND(D247-$B$15,9))</f>
        <v/>
      </c>
    </row>
    <row r="248">
      <c r="A248" s="16">
        <f>IF(OR(A247="",A247&gt;=$B$18),"",MIN($B$18,(FLOOR(A247/$B$19+0.000000001,1)+1)*$B$19))</f>
        <v/>
      </c>
      <c r="B248" s="17">
        <f>IF(A248="","",IF(A248&lt;0,"-","")&amp;INT(ABS(A248)/1000)&amp;"+"&amp;TEXT(MOD(ABS(A248),1000),"000.000"))</f>
        <v/>
      </c>
      <c r="C248" s="16">
        <f>IF(A248="","",A248-$B$17)</f>
        <v/>
      </c>
      <c r="D248" s="16">
        <f>IF(A248="","",ROUND($B$15+$B$25*(A248-$B$17),9))</f>
        <v/>
      </c>
      <c r="E248" s="16">
        <f>IF(A248="","",ROUND(D248-$B$15,9))</f>
        <v/>
      </c>
    </row>
    <row r="249">
      <c r="A249" s="16">
        <f>IF(OR(A248="",A248&gt;=$B$18),"",MIN($B$18,(FLOOR(A248/$B$19+0.000000001,1)+1)*$B$19))</f>
        <v/>
      </c>
      <c r="B249" s="17">
        <f>IF(A249="","",IF(A249&lt;0,"-","")&amp;INT(ABS(A249)/1000)&amp;"+"&amp;TEXT(MOD(ABS(A249),1000),"000.000"))</f>
        <v/>
      </c>
      <c r="C249" s="16">
        <f>IF(A249="","",A249-$B$17)</f>
        <v/>
      </c>
      <c r="D249" s="16">
        <f>IF(A249="","",ROUND($B$15+$B$25*(A249-$B$17),9))</f>
        <v/>
      </c>
      <c r="E249" s="16">
        <f>IF(A249="","",ROUND(D249-$B$15,9))</f>
        <v/>
      </c>
    </row>
    <row r="250">
      <c r="A250" s="16">
        <f>IF(OR(A249="",A249&gt;=$B$18),"",MIN($B$18,(FLOOR(A249/$B$19+0.000000001,1)+1)*$B$19))</f>
        <v/>
      </c>
      <c r="B250" s="17">
        <f>IF(A250="","",IF(A250&lt;0,"-","")&amp;INT(ABS(A250)/1000)&amp;"+"&amp;TEXT(MOD(ABS(A250),1000),"000.000"))</f>
        <v/>
      </c>
      <c r="C250" s="16">
        <f>IF(A250="","",A250-$B$17)</f>
        <v/>
      </c>
      <c r="D250" s="16">
        <f>IF(A250="","",ROUND($B$15+$B$25*(A250-$B$17),9))</f>
        <v/>
      </c>
      <c r="E250" s="16">
        <f>IF(A250="","",ROUND(D250-$B$15,9))</f>
        <v/>
      </c>
    </row>
    <row r="251">
      <c r="A251" s="16">
        <f>IF(OR(A250="",A250&gt;=$B$18),"",MIN($B$18,(FLOOR(A250/$B$19+0.000000001,1)+1)*$B$19))</f>
        <v/>
      </c>
      <c r="B251" s="17">
        <f>IF(A251="","",IF(A251&lt;0,"-","")&amp;INT(ABS(A251)/1000)&amp;"+"&amp;TEXT(MOD(ABS(A251),1000),"000.000"))</f>
        <v/>
      </c>
      <c r="C251" s="16">
        <f>IF(A251="","",A251-$B$17)</f>
        <v/>
      </c>
      <c r="D251" s="16">
        <f>IF(A251="","",ROUND($B$15+$B$25*(A251-$B$17),9))</f>
        <v/>
      </c>
      <c r="E251" s="16">
        <f>IF(A251="","",ROUND(D251-$B$15,9))</f>
        <v/>
      </c>
    </row>
    <row r="252">
      <c r="A252" s="16">
        <f>IF(OR(A251="",A251&gt;=$B$18),"",MIN($B$18,(FLOOR(A251/$B$19+0.000000001,1)+1)*$B$19))</f>
        <v/>
      </c>
      <c r="B252" s="17">
        <f>IF(A252="","",IF(A252&lt;0,"-","")&amp;INT(ABS(A252)/1000)&amp;"+"&amp;TEXT(MOD(ABS(A252),1000),"000.000"))</f>
        <v/>
      </c>
      <c r="C252" s="16">
        <f>IF(A252="","",A252-$B$17)</f>
        <v/>
      </c>
      <c r="D252" s="16">
        <f>IF(A252="","",ROUND($B$15+$B$25*(A252-$B$17),9))</f>
        <v/>
      </c>
      <c r="E252" s="16">
        <f>IF(A252="","",ROUND(D252-$B$15,9))</f>
        <v/>
      </c>
    </row>
    <row r="253">
      <c r="A253" s="16">
        <f>IF(OR(A252="",A252&gt;=$B$18),"",MIN($B$18,(FLOOR(A252/$B$19+0.000000001,1)+1)*$B$19))</f>
        <v/>
      </c>
      <c r="B253" s="17">
        <f>IF(A253="","",IF(A253&lt;0,"-","")&amp;INT(ABS(A253)/1000)&amp;"+"&amp;TEXT(MOD(ABS(A253),1000),"000.000"))</f>
        <v/>
      </c>
      <c r="C253" s="16">
        <f>IF(A253="","",A253-$B$17)</f>
        <v/>
      </c>
      <c r="D253" s="16">
        <f>IF(A253="","",ROUND($B$15+$B$25*(A253-$B$17),9))</f>
        <v/>
      </c>
      <c r="E253" s="16">
        <f>IF(A253="","",ROUND(D253-$B$15,9))</f>
        <v/>
      </c>
    </row>
    <row r="254">
      <c r="A254" s="16">
        <f>IF(OR(A253="",A253&gt;=$B$18),"",MIN($B$18,(FLOOR(A253/$B$19+0.000000001,1)+1)*$B$19))</f>
        <v/>
      </c>
      <c r="B254" s="17">
        <f>IF(A254="","",IF(A254&lt;0,"-","")&amp;INT(ABS(A254)/1000)&amp;"+"&amp;TEXT(MOD(ABS(A254),1000),"000.000"))</f>
        <v/>
      </c>
      <c r="C254" s="16">
        <f>IF(A254="","",A254-$B$17)</f>
        <v/>
      </c>
      <c r="D254" s="16">
        <f>IF(A254="","",ROUND($B$15+$B$25*(A254-$B$17),9))</f>
        <v/>
      </c>
      <c r="E254" s="16">
        <f>IF(A254="","",ROUND(D254-$B$15,9))</f>
        <v/>
      </c>
    </row>
    <row r="255">
      <c r="A255" s="16">
        <f>IF(OR(A254="",A254&gt;=$B$18),"",MIN($B$18,(FLOOR(A254/$B$19+0.000000001,1)+1)*$B$19))</f>
        <v/>
      </c>
      <c r="B255" s="17">
        <f>IF(A255="","",IF(A255&lt;0,"-","")&amp;INT(ABS(A255)/1000)&amp;"+"&amp;TEXT(MOD(ABS(A255),1000),"000.000"))</f>
        <v/>
      </c>
      <c r="C255" s="16">
        <f>IF(A255="","",A255-$B$17)</f>
        <v/>
      </c>
      <c r="D255" s="16">
        <f>IF(A255="","",ROUND($B$15+$B$25*(A255-$B$17),9))</f>
        <v/>
      </c>
      <c r="E255" s="16">
        <f>IF(A255="","",ROUND(D255-$B$15,9))</f>
        <v/>
      </c>
    </row>
    <row r="256">
      <c r="A256" s="16">
        <f>IF(OR(A255="",A255&gt;=$B$18),"",MIN($B$18,(FLOOR(A255/$B$19+0.000000001,1)+1)*$B$19))</f>
        <v/>
      </c>
      <c r="B256" s="17">
        <f>IF(A256="","",IF(A256&lt;0,"-","")&amp;INT(ABS(A256)/1000)&amp;"+"&amp;TEXT(MOD(ABS(A256),1000),"000.000"))</f>
        <v/>
      </c>
      <c r="C256" s="16">
        <f>IF(A256="","",A256-$B$17)</f>
        <v/>
      </c>
      <c r="D256" s="16">
        <f>IF(A256="","",ROUND($B$15+$B$25*(A256-$B$17),9))</f>
        <v/>
      </c>
      <c r="E256" s="16">
        <f>IF(A256="","",ROUND(D256-$B$15,9))</f>
        <v/>
      </c>
    </row>
    <row r="257">
      <c r="A257" s="16">
        <f>IF(OR(A256="",A256&gt;=$B$18),"",MIN($B$18,(FLOOR(A256/$B$19+0.000000001,1)+1)*$B$19))</f>
        <v/>
      </c>
      <c r="B257" s="17">
        <f>IF(A257="","",IF(A257&lt;0,"-","")&amp;INT(ABS(A257)/1000)&amp;"+"&amp;TEXT(MOD(ABS(A257),1000),"000.000"))</f>
        <v/>
      </c>
      <c r="C257" s="16">
        <f>IF(A257="","",A257-$B$17)</f>
        <v/>
      </c>
      <c r="D257" s="16">
        <f>IF(A257="","",ROUND($B$15+$B$25*(A257-$B$17),9))</f>
        <v/>
      </c>
      <c r="E257" s="16">
        <f>IF(A257="","",ROUND(D257-$B$15,9))</f>
        <v/>
      </c>
    </row>
    <row r="258">
      <c r="A258" s="16">
        <f>IF(OR(A257="",A257&gt;=$B$18),"",MIN($B$18,(FLOOR(A257/$B$19+0.000000001,1)+1)*$B$19))</f>
        <v/>
      </c>
      <c r="B258" s="17">
        <f>IF(A258="","",IF(A258&lt;0,"-","")&amp;INT(ABS(A258)/1000)&amp;"+"&amp;TEXT(MOD(ABS(A258),1000),"000.000"))</f>
        <v/>
      </c>
      <c r="C258" s="16">
        <f>IF(A258="","",A258-$B$17)</f>
        <v/>
      </c>
      <c r="D258" s="16">
        <f>IF(A258="","",ROUND($B$15+$B$25*(A258-$B$17),9))</f>
        <v/>
      </c>
      <c r="E258" s="16">
        <f>IF(A258="","",ROUND(D258-$B$15,9))</f>
        <v/>
      </c>
    </row>
    <row r="259">
      <c r="A259" s="16">
        <f>IF(OR(A258="",A258&gt;=$B$18),"",MIN($B$18,(FLOOR(A258/$B$19+0.000000001,1)+1)*$B$19))</f>
        <v/>
      </c>
      <c r="B259" s="17">
        <f>IF(A259="","",IF(A259&lt;0,"-","")&amp;INT(ABS(A259)/1000)&amp;"+"&amp;TEXT(MOD(ABS(A259),1000),"000.000"))</f>
        <v/>
      </c>
      <c r="C259" s="16">
        <f>IF(A259="","",A259-$B$17)</f>
        <v/>
      </c>
      <c r="D259" s="16">
        <f>IF(A259="","",ROUND($B$15+$B$25*(A259-$B$17),9))</f>
        <v/>
      </c>
      <c r="E259" s="16">
        <f>IF(A259="","",ROUND(D259-$B$15,9))</f>
        <v/>
      </c>
    </row>
    <row r="260">
      <c r="A260" s="16">
        <f>IF(OR(A259="",A259&gt;=$B$18),"",MIN($B$18,(FLOOR(A259/$B$19+0.000000001,1)+1)*$B$19))</f>
        <v/>
      </c>
      <c r="B260" s="17">
        <f>IF(A260="","",IF(A260&lt;0,"-","")&amp;INT(ABS(A260)/1000)&amp;"+"&amp;TEXT(MOD(ABS(A260),1000),"000.000"))</f>
        <v/>
      </c>
      <c r="C260" s="16">
        <f>IF(A260="","",A260-$B$17)</f>
        <v/>
      </c>
      <c r="D260" s="16">
        <f>IF(A260="","",ROUND($B$15+$B$25*(A260-$B$17),9))</f>
        <v/>
      </c>
      <c r="E260" s="16">
        <f>IF(A260="","",ROUND(D260-$B$15,9))</f>
        <v/>
      </c>
    </row>
    <row r="261">
      <c r="A261" s="16">
        <f>IF(OR(A260="",A260&gt;=$B$18),"",MIN($B$18,(FLOOR(A260/$B$19+0.000000001,1)+1)*$B$19))</f>
        <v/>
      </c>
      <c r="B261" s="17">
        <f>IF(A261="","",IF(A261&lt;0,"-","")&amp;INT(ABS(A261)/1000)&amp;"+"&amp;TEXT(MOD(ABS(A261),1000),"000.000"))</f>
        <v/>
      </c>
      <c r="C261" s="16">
        <f>IF(A261="","",A261-$B$17)</f>
        <v/>
      </c>
      <c r="D261" s="16">
        <f>IF(A261="","",ROUND($B$15+$B$25*(A261-$B$17),9))</f>
        <v/>
      </c>
      <c r="E261" s="16">
        <f>IF(A261="","",ROUND(D261-$B$15,9))</f>
        <v/>
      </c>
    </row>
    <row r="262">
      <c r="A262" s="16">
        <f>IF(OR(A261="",A261&gt;=$B$18),"",MIN($B$18,(FLOOR(A261/$B$19+0.000000001,1)+1)*$B$19))</f>
        <v/>
      </c>
      <c r="B262" s="17">
        <f>IF(A262="","",IF(A262&lt;0,"-","")&amp;INT(ABS(A262)/1000)&amp;"+"&amp;TEXT(MOD(ABS(A262),1000),"000.000"))</f>
        <v/>
      </c>
      <c r="C262" s="16">
        <f>IF(A262="","",A262-$B$17)</f>
        <v/>
      </c>
      <c r="D262" s="16">
        <f>IF(A262="","",ROUND($B$15+$B$25*(A262-$B$17),9))</f>
        <v/>
      </c>
      <c r="E262" s="16">
        <f>IF(A262="","",ROUND(D262-$B$15,9))</f>
        <v/>
      </c>
    </row>
    <row r="263">
      <c r="A263" s="16">
        <f>IF(OR(A262="",A262&gt;=$B$18),"",MIN($B$18,(FLOOR(A262/$B$19+0.000000001,1)+1)*$B$19))</f>
        <v/>
      </c>
      <c r="B263" s="17">
        <f>IF(A263="","",IF(A263&lt;0,"-","")&amp;INT(ABS(A263)/1000)&amp;"+"&amp;TEXT(MOD(ABS(A263),1000),"000.000"))</f>
        <v/>
      </c>
      <c r="C263" s="16">
        <f>IF(A263="","",A263-$B$17)</f>
        <v/>
      </c>
      <c r="D263" s="16">
        <f>IF(A263="","",ROUND($B$15+$B$25*(A263-$B$17),9))</f>
        <v/>
      </c>
      <c r="E263" s="16">
        <f>IF(A263="","",ROUND(D263-$B$15,9))</f>
        <v/>
      </c>
    </row>
    <row r="264">
      <c r="A264" s="16">
        <f>IF(OR(A263="",A263&gt;=$B$18),"",MIN($B$18,(FLOOR(A263/$B$19+0.000000001,1)+1)*$B$19))</f>
        <v/>
      </c>
      <c r="B264" s="17">
        <f>IF(A264="","",IF(A264&lt;0,"-","")&amp;INT(ABS(A264)/1000)&amp;"+"&amp;TEXT(MOD(ABS(A264),1000),"000.000"))</f>
        <v/>
      </c>
      <c r="C264" s="16">
        <f>IF(A264="","",A264-$B$17)</f>
        <v/>
      </c>
      <c r="D264" s="16">
        <f>IF(A264="","",ROUND($B$15+$B$25*(A264-$B$17),9))</f>
        <v/>
      </c>
      <c r="E264" s="16">
        <f>IF(A264="","",ROUND(D264-$B$15,9))</f>
        <v/>
      </c>
    </row>
    <row r="265">
      <c r="A265" s="16">
        <f>IF(OR(A264="",A264&gt;=$B$18),"",MIN($B$18,(FLOOR(A264/$B$19+0.000000001,1)+1)*$B$19))</f>
        <v/>
      </c>
      <c r="B265" s="17">
        <f>IF(A265="","",IF(A265&lt;0,"-","")&amp;INT(ABS(A265)/1000)&amp;"+"&amp;TEXT(MOD(ABS(A265),1000),"000.000"))</f>
        <v/>
      </c>
      <c r="C265" s="16">
        <f>IF(A265="","",A265-$B$17)</f>
        <v/>
      </c>
      <c r="D265" s="16">
        <f>IF(A265="","",ROUND($B$15+$B$25*(A265-$B$17),9))</f>
        <v/>
      </c>
      <c r="E265" s="16">
        <f>IF(A265="","",ROUND(D265-$B$15,9))</f>
        <v/>
      </c>
    </row>
    <row r="266">
      <c r="A266" s="16">
        <f>IF(OR(A265="",A265&gt;=$B$18),"",MIN($B$18,(FLOOR(A265/$B$19+0.000000001,1)+1)*$B$19))</f>
        <v/>
      </c>
      <c r="B266" s="17">
        <f>IF(A266="","",IF(A266&lt;0,"-","")&amp;INT(ABS(A266)/1000)&amp;"+"&amp;TEXT(MOD(ABS(A266),1000),"000.000"))</f>
        <v/>
      </c>
      <c r="C266" s="16">
        <f>IF(A266="","",A266-$B$17)</f>
        <v/>
      </c>
      <c r="D266" s="16">
        <f>IF(A266="","",ROUND($B$15+$B$25*(A266-$B$17),9))</f>
        <v/>
      </c>
      <c r="E266" s="16">
        <f>IF(A266="","",ROUND(D266-$B$15,9))</f>
        <v/>
      </c>
    </row>
    <row r="267">
      <c r="A267" s="16">
        <f>IF(OR(A266="",A266&gt;=$B$18),"",MIN($B$18,(FLOOR(A266/$B$19+0.000000001,1)+1)*$B$19))</f>
        <v/>
      </c>
      <c r="B267" s="17">
        <f>IF(A267="","",IF(A267&lt;0,"-","")&amp;INT(ABS(A267)/1000)&amp;"+"&amp;TEXT(MOD(ABS(A267),1000),"000.000"))</f>
        <v/>
      </c>
      <c r="C267" s="16">
        <f>IF(A267="","",A267-$B$17)</f>
        <v/>
      </c>
      <c r="D267" s="16">
        <f>IF(A267="","",ROUND($B$15+$B$25*(A267-$B$17),9))</f>
        <v/>
      </c>
      <c r="E267" s="16">
        <f>IF(A267="","",ROUND(D267-$B$15,9))</f>
        <v/>
      </c>
    </row>
    <row r="268">
      <c r="A268" s="16">
        <f>IF(OR(A267="",A267&gt;=$B$18),"",MIN($B$18,(FLOOR(A267/$B$19+0.000000001,1)+1)*$B$19))</f>
        <v/>
      </c>
      <c r="B268" s="17">
        <f>IF(A268="","",IF(A268&lt;0,"-","")&amp;INT(ABS(A268)/1000)&amp;"+"&amp;TEXT(MOD(ABS(A268),1000),"000.000"))</f>
        <v/>
      </c>
      <c r="C268" s="16">
        <f>IF(A268="","",A268-$B$17)</f>
        <v/>
      </c>
      <c r="D268" s="16">
        <f>IF(A268="","",ROUND($B$15+$B$25*(A268-$B$17),9))</f>
        <v/>
      </c>
      <c r="E268" s="16">
        <f>IF(A268="","",ROUND(D268-$B$15,9))</f>
        <v/>
      </c>
    </row>
    <row r="269">
      <c r="A269" s="16">
        <f>IF(OR(A268="",A268&gt;=$B$18),"",MIN($B$18,(FLOOR(A268/$B$19+0.000000001,1)+1)*$B$19))</f>
        <v/>
      </c>
      <c r="B269" s="17">
        <f>IF(A269="","",IF(A269&lt;0,"-","")&amp;INT(ABS(A269)/1000)&amp;"+"&amp;TEXT(MOD(ABS(A269),1000),"000.000"))</f>
        <v/>
      </c>
      <c r="C269" s="16">
        <f>IF(A269="","",A269-$B$17)</f>
        <v/>
      </c>
      <c r="D269" s="16">
        <f>IF(A269="","",ROUND($B$15+$B$25*(A269-$B$17),9))</f>
        <v/>
      </c>
      <c r="E269" s="16">
        <f>IF(A269="","",ROUND(D269-$B$15,9))</f>
        <v/>
      </c>
    </row>
    <row r="270">
      <c r="A270" s="16">
        <f>IF(OR(A269="",A269&gt;=$B$18),"",MIN($B$18,(FLOOR(A269/$B$19+0.000000001,1)+1)*$B$19))</f>
        <v/>
      </c>
      <c r="B270" s="17">
        <f>IF(A270="","",IF(A270&lt;0,"-","")&amp;INT(ABS(A270)/1000)&amp;"+"&amp;TEXT(MOD(ABS(A270),1000),"000.000"))</f>
        <v/>
      </c>
      <c r="C270" s="16">
        <f>IF(A270="","",A270-$B$17)</f>
        <v/>
      </c>
      <c r="D270" s="16">
        <f>IF(A270="","",ROUND($B$15+$B$25*(A270-$B$17),9))</f>
        <v/>
      </c>
      <c r="E270" s="16">
        <f>IF(A270="","",ROUND(D270-$B$15,9))</f>
        <v/>
      </c>
    </row>
    <row r="271">
      <c r="A271" s="16">
        <f>IF(OR(A270="",A270&gt;=$B$18),"",MIN($B$18,(FLOOR(A270/$B$19+0.000000001,1)+1)*$B$19))</f>
        <v/>
      </c>
      <c r="B271" s="17">
        <f>IF(A271="","",IF(A271&lt;0,"-","")&amp;INT(ABS(A271)/1000)&amp;"+"&amp;TEXT(MOD(ABS(A271),1000),"000.000"))</f>
        <v/>
      </c>
      <c r="C271" s="16">
        <f>IF(A271="","",A271-$B$17)</f>
        <v/>
      </c>
      <c r="D271" s="16">
        <f>IF(A271="","",ROUND($B$15+$B$25*(A271-$B$17),9))</f>
        <v/>
      </c>
      <c r="E271" s="16">
        <f>IF(A271="","",ROUND(D271-$B$15,9))</f>
        <v/>
      </c>
    </row>
    <row r="272">
      <c r="A272" s="16">
        <f>IF(OR(A271="",A271&gt;=$B$18),"",MIN($B$18,(FLOOR(A271/$B$19+0.000000001,1)+1)*$B$19))</f>
        <v/>
      </c>
      <c r="B272" s="17">
        <f>IF(A272="","",IF(A272&lt;0,"-","")&amp;INT(ABS(A272)/1000)&amp;"+"&amp;TEXT(MOD(ABS(A272),1000),"000.000"))</f>
        <v/>
      </c>
      <c r="C272" s="16">
        <f>IF(A272="","",A272-$B$17)</f>
        <v/>
      </c>
      <c r="D272" s="16">
        <f>IF(A272="","",ROUND($B$15+$B$25*(A272-$B$17),9))</f>
        <v/>
      </c>
      <c r="E272" s="16">
        <f>IF(A272="","",ROUND(D272-$B$15,9))</f>
        <v/>
      </c>
    </row>
    <row r="273">
      <c r="A273" s="16">
        <f>IF(OR(A272="",A272&gt;=$B$18),"",MIN($B$18,(FLOOR(A272/$B$19+0.000000001,1)+1)*$B$19))</f>
        <v/>
      </c>
      <c r="B273" s="17">
        <f>IF(A273="","",IF(A273&lt;0,"-","")&amp;INT(ABS(A273)/1000)&amp;"+"&amp;TEXT(MOD(ABS(A273),1000),"000.000"))</f>
        <v/>
      </c>
      <c r="C273" s="16">
        <f>IF(A273="","",A273-$B$17)</f>
        <v/>
      </c>
      <c r="D273" s="16">
        <f>IF(A273="","",ROUND($B$15+$B$25*(A273-$B$17),9))</f>
        <v/>
      </c>
      <c r="E273" s="16">
        <f>IF(A273="","",ROUND(D273-$B$15,9))</f>
        <v/>
      </c>
    </row>
    <row r="274">
      <c r="A274" s="16">
        <f>IF(OR(A273="",A273&gt;=$B$18),"",MIN($B$18,(FLOOR(A273/$B$19+0.000000001,1)+1)*$B$19))</f>
        <v/>
      </c>
      <c r="B274" s="17">
        <f>IF(A274="","",IF(A274&lt;0,"-","")&amp;INT(ABS(A274)/1000)&amp;"+"&amp;TEXT(MOD(ABS(A274),1000),"000.000"))</f>
        <v/>
      </c>
      <c r="C274" s="16">
        <f>IF(A274="","",A274-$B$17)</f>
        <v/>
      </c>
      <c r="D274" s="16">
        <f>IF(A274="","",ROUND($B$15+$B$25*(A274-$B$17),9))</f>
        <v/>
      </c>
      <c r="E274" s="16">
        <f>IF(A274="","",ROUND(D274-$B$15,9))</f>
        <v/>
      </c>
    </row>
    <row r="275">
      <c r="A275" s="16">
        <f>IF(OR(A274="",A274&gt;=$B$18),"",MIN($B$18,(FLOOR(A274/$B$19+0.000000001,1)+1)*$B$19))</f>
        <v/>
      </c>
      <c r="B275" s="17">
        <f>IF(A275="","",IF(A275&lt;0,"-","")&amp;INT(ABS(A275)/1000)&amp;"+"&amp;TEXT(MOD(ABS(A275),1000),"000.000"))</f>
        <v/>
      </c>
      <c r="C275" s="16">
        <f>IF(A275="","",A275-$B$17)</f>
        <v/>
      </c>
      <c r="D275" s="16">
        <f>IF(A275="","",ROUND($B$15+$B$25*(A275-$B$17),9))</f>
        <v/>
      </c>
      <c r="E275" s="16">
        <f>IF(A275="","",ROUND(D275-$B$15,9))</f>
        <v/>
      </c>
    </row>
    <row r="276">
      <c r="A276" s="16">
        <f>IF(OR(A275="",A275&gt;=$B$18),"",MIN($B$18,(FLOOR(A275/$B$19+0.000000001,1)+1)*$B$19))</f>
        <v/>
      </c>
      <c r="B276" s="17">
        <f>IF(A276="","",IF(A276&lt;0,"-","")&amp;INT(ABS(A276)/1000)&amp;"+"&amp;TEXT(MOD(ABS(A276),1000),"000.000"))</f>
        <v/>
      </c>
      <c r="C276" s="16">
        <f>IF(A276="","",A276-$B$17)</f>
        <v/>
      </c>
      <c r="D276" s="16">
        <f>IF(A276="","",ROUND($B$15+$B$25*(A276-$B$17),9))</f>
        <v/>
      </c>
      <c r="E276" s="16">
        <f>IF(A276="","",ROUND(D276-$B$15,9))</f>
        <v/>
      </c>
    </row>
    <row r="277">
      <c r="A277" s="16">
        <f>IF(OR(A276="",A276&gt;=$B$18),"",MIN($B$18,(FLOOR(A276/$B$19+0.000000001,1)+1)*$B$19))</f>
        <v/>
      </c>
      <c r="B277" s="17">
        <f>IF(A277="","",IF(A277&lt;0,"-","")&amp;INT(ABS(A277)/1000)&amp;"+"&amp;TEXT(MOD(ABS(A277),1000),"000.000"))</f>
        <v/>
      </c>
      <c r="C277" s="16">
        <f>IF(A277="","",A277-$B$17)</f>
        <v/>
      </c>
      <c r="D277" s="16">
        <f>IF(A277="","",ROUND($B$15+$B$25*(A277-$B$17),9))</f>
        <v/>
      </c>
      <c r="E277" s="16">
        <f>IF(A277="","",ROUND(D277-$B$15,9))</f>
        <v/>
      </c>
    </row>
    <row r="278">
      <c r="A278" s="16">
        <f>IF(OR(A277="",A277&gt;=$B$18),"",MIN($B$18,(FLOOR(A277/$B$19+0.000000001,1)+1)*$B$19))</f>
        <v/>
      </c>
      <c r="B278" s="17">
        <f>IF(A278="","",IF(A278&lt;0,"-","")&amp;INT(ABS(A278)/1000)&amp;"+"&amp;TEXT(MOD(ABS(A278),1000),"000.000"))</f>
        <v/>
      </c>
      <c r="C278" s="16">
        <f>IF(A278="","",A278-$B$17)</f>
        <v/>
      </c>
      <c r="D278" s="16">
        <f>IF(A278="","",ROUND($B$15+$B$25*(A278-$B$17),9))</f>
        <v/>
      </c>
      <c r="E278" s="16">
        <f>IF(A278="","",ROUND(D278-$B$15,9))</f>
        <v/>
      </c>
    </row>
    <row r="279">
      <c r="A279" s="16">
        <f>IF(OR(A278="",A278&gt;=$B$18),"",MIN($B$18,(FLOOR(A278/$B$19+0.000000001,1)+1)*$B$19))</f>
        <v/>
      </c>
      <c r="B279" s="17">
        <f>IF(A279="","",IF(A279&lt;0,"-","")&amp;INT(ABS(A279)/1000)&amp;"+"&amp;TEXT(MOD(ABS(A279),1000),"000.000"))</f>
        <v/>
      </c>
      <c r="C279" s="16">
        <f>IF(A279="","",A279-$B$17)</f>
        <v/>
      </c>
      <c r="D279" s="16">
        <f>IF(A279="","",ROUND($B$15+$B$25*(A279-$B$17),9))</f>
        <v/>
      </c>
      <c r="E279" s="16">
        <f>IF(A279="","",ROUND(D279-$B$15,9))</f>
        <v/>
      </c>
    </row>
    <row r="280">
      <c r="A280" s="16">
        <f>IF(OR(A279="",A279&gt;=$B$18),"",MIN($B$18,(FLOOR(A279/$B$19+0.000000001,1)+1)*$B$19))</f>
        <v/>
      </c>
      <c r="B280" s="17">
        <f>IF(A280="","",IF(A280&lt;0,"-","")&amp;INT(ABS(A280)/1000)&amp;"+"&amp;TEXT(MOD(ABS(A280),1000),"000.000"))</f>
        <v/>
      </c>
      <c r="C280" s="16">
        <f>IF(A280="","",A280-$B$17)</f>
        <v/>
      </c>
      <c r="D280" s="16">
        <f>IF(A280="","",ROUND($B$15+$B$25*(A280-$B$17),9))</f>
        <v/>
      </c>
      <c r="E280" s="16">
        <f>IF(A280="","",ROUND(D280-$B$15,9))</f>
        <v/>
      </c>
    </row>
    <row r="281">
      <c r="A281" s="16">
        <f>IF(OR(A280="",A280&gt;=$B$18),"",MIN($B$18,(FLOOR(A280/$B$19+0.000000001,1)+1)*$B$19))</f>
        <v/>
      </c>
      <c r="B281" s="17">
        <f>IF(A281="","",IF(A281&lt;0,"-","")&amp;INT(ABS(A281)/1000)&amp;"+"&amp;TEXT(MOD(ABS(A281),1000),"000.000"))</f>
        <v/>
      </c>
      <c r="C281" s="16">
        <f>IF(A281="","",A281-$B$17)</f>
        <v/>
      </c>
      <c r="D281" s="16">
        <f>IF(A281="","",ROUND($B$15+$B$25*(A281-$B$17),9))</f>
        <v/>
      </c>
      <c r="E281" s="16">
        <f>IF(A281="","",ROUND(D281-$B$15,9))</f>
        <v/>
      </c>
    </row>
    <row r="282">
      <c r="A282" s="16">
        <f>IF(OR(A281="",A281&gt;=$B$18),"",MIN($B$18,(FLOOR(A281/$B$19+0.000000001,1)+1)*$B$19))</f>
        <v/>
      </c>
      <c r="B282" s="17">
        <f>IF(A282="","",IF(A282&lt;0,"-","")&amp;INT(ABS(A282)/1000)&amp;"+"&amp;TEXT(MOD(ABS(A282),1000),"000.000"))</f>
        <v/>
      </c>
      <c r="C282" s="16">
        <f>IF(A282="","",A282-$B$17)</f>
        <v/>
      </c>
      <c r="D282" s="16">
        <f>IF(A282="","",ROUND($B$15+$B$25*(A282-$B$17),9))</f>
        <v/>
      </c>
      <c r="E282" s="16">
        <f>IF(A282="","",ROUND(D282-$B$15,9))</f>
        <v/>
      </c>
    </row>
    <row r="283">
      <c r="A283" s="16">
        <f>IF(OR(A282="",A282&gt;=$B$18),"",MIN($B$18,(FLOOR(A282/$B$19+0.000000001,1)+1)*$B$19))</f>
        <v/>
      </c>
      <c r="B283" s="17">
        <f>IF(A283="","",IF(A283&lt;0,"-","")&amp;INT(ABS(A283)/1000)&amp;"+"&amp;TEXT(MOD(ABS(A283),1000),"000.000"))</f>
        <v/>
      </c>
      <c r="C283" s="16">
        <f>IF(A283="","",A283-$B$17)</f>
        <v/>
      </c>
      <c r="D283" s="16">
        <f>IF(A283="","",ROUND($B$15+$B$25*(A283-$B$17),9))</f>
        <v/>
      </c>
      <c r="E283" s="16">
        <f>IF(A283="","",ROUND(D283-$B$15,9))</f>
        <v/>
      </c>
    </row>
    <row r="284">
      <c r="A284" s="16">
        <f>IF(OR(A283="",A283&gt;=$B$18),"",MIN($B$18,(FLOOR(A283/$B$19+0.000000001,1)+1)*$B$19))</f>
        <v/>
      </c>
      <c r="B284" s="17">
        <f>IF(A284="","",IF(A284&lt;0,"-","")&amp;INT(ABS(A284)/1000)&amp;"+"&amp;TEXT(MOD(ABS(A284),1000),"000.000"))</f>
        <v/>
      </c>
      <c r="C284" s="16">
        <f>IF(A284="","",A284-$B$17)</f>
        <v/>
      </c>
      <c r="D284" s="16">
        <f>IF(A284="","",ROUND($B$15+$B$25*(A284-$B$17),9))</f>
        <v/>
      </c>
      <c r="E284" s="16">
        <f>IF(A284="","",ROUND(D284-$B$15,9))</f>
        <v/>
      </c>
    </row>
    <row r="285">
      <c r="A285" s="16">
        <f>IF(OR(A284="",A284&gt;=$B$18),"",MIN($B$18,(FLOOR(A284/$B$19+0.000000001,1)+1)*$B$19))</f>
        <v/>
      </c>
      <c r="B285" s="17">
        <f>IF(A285="","",IF(A285&lt;0,"-","")&amp;INT(ABS(A285)/1000)&amp;"+"&amp;TEXT(MOD(ABS(A285),1000),"000.000"))</f>
        <v/>
      </c>
      <c r="C285" s="16">
        <f>IF(A285="","",A285-$B$17)</f>
        <v/>
      </c>
      <c r="D285" s="16">
        <f>IF(A285="","",ROUND($B$15+$B$25*(A285-$B$17),9))</f>
        <v/>
      </c>
      <c r="E285" s="16">
        <f>IF(A285="","",ROUND(D285-$B$15,9))</f>
        <v/>
      </c>
    </row>
    <row r="286">
      <c r="A286" s="16">
        <f>IF(OR(A285="",A285&gt;=$B$18),"",MIN($B$18,(FLOOR(A285/$B$19+0.000000001,1)+1)*$B$19))</f>
        <v/>
      </c>
      <c r="B286" s="17">
        <f>IF(A286="","",IF(A286&lt;0,"-","")&amp;INT(ABS(A286)/1000)&amp;"+"&amp;TEXT(MOD(ABS(A286),1000),"000.000"))</f>
        <v/>
      </c>
      <c r="C286" s="16">
        <f>IF(A286="","",A286-$B$17)</f>
        <v/>
      </c>
      <c r="D286" s="16">
        <f>IF(A286="","",ROUND($B$15+$B$25*(A286-$B$17),9))</f>
        <v/>
      </c>
      <c r="E286" s="16">
        <f>IF(A286="","",ROUND(D286-$B$15,9))</f>
        <v/>
      </c>
    </row>
    <row r="287">
      <c r="A287" s="16">
        <f>IF(OR(A286="",A286&gt;=$B$18),"",MIN($B$18,(FLOOR(A286/$B$19+0.000000001,1)+1)*$B$19))</f>
        <v/>
      </c>
      <c r="B287" s="17">
        <f>IF(A287="","",IF(A287&lt;0,"-","")&amp;INT(ABS(A287)/1000)&amp;"+"&amp;TEXT(MOD(ABS(A287),1000),"000.000"))</f>
        <v/>
      </c>
      <c r="C287" s="16">
        <f>IF(A287="","",A287-$B$17)</f>
        <v/>
      </c>
      <c r="D287" s="16">
        <f>IF(A287="","",ROUND($B$15+$B$25*(A287-$B$17),9))</f>
        <v/>
      </c>
      <c r="E287" s="16">
        <f>IF(A287="","",ROUND(D287-$B$15,9))</f>
        <v/>
      </c>
    </row>
    <row r="288">
      <c r="A288" s="16">
        <f>IF(OR(A287="",A287&gt;=$B$18),"",MIN($B$18,(FLOOR(A287/$B$19+0.000000001,1)+1)*$B$19))</f>
        <v/>
      </c>
      <c r="B288" s="17">
        <f>IF(A288="","",IF(A288&lt;0,"-","")&amp;INT(ABS(A288)/1000)&amp;"+"&amp;TEXT(MOD(ABS(A288),1000),"000.000"))</f>
        <v/>
      </c>
      <c r="C288" s="16">
        <f>IF(A288="","",A288-$B$17)</f>
        <v/>
      </c>
      <c r="D288" s="16">
        <f>IF(A288="","",ROUND($B$15+$B$25*(A288-$B$17),9))</f>
        <v/>
      </c>
      <c r="E288" s="16">
        <f>IF(A288="","",ROUND(D288-$B$15,9))</f>
        <v/>
      </c>
    </row>
    <row r="289">
      <c r="A289" s="16">
        <f>IF(OR(A288="",A288&gt;=$B$18),"",MIN($B$18,(FLOOR(A288/$B$19+0.000000001,1)+1)*$B$19))</f>
        <v/>
      </c>
      <c r="B289" s="17">
        <f>IF(A289="","",IF(A289&lt;0,"-","")&amp;INT(ABS(A289)/1000)&amp;"+"&amp;TEXT(MOD(ABS(A289),1000),"000.000"))</f>
        <v/>
      </c>
      <c r="C289" s="16">
        <f>IF(A289="","",A289-$B$17)</f>
        <v/>
      </c>
      <c r="D289" s="16">
        <f>IF(A289="","",ROUND($B$15+$B$25*(A289-$B$17),9))</f>
        <v/>
      </c>
      <c r="E289" s="16">
        <f>IF(A289="","",ROUND(D289-$B$15,9))</f>
        <v/>
      </c>
    </row>
    <row r="290">
      <c r="A290" s="16">
        <f>IF(OR(A289="",A289&gt;=$B$18),"",MIN($B$18,(FLOOR(A289/$B$19+0.000000001,1)+1)*$B$19))</f>
        <v/>
      </c>
      <c r="B290" s="17">
        <f>IF(A290="","",IF(A290&lt;0,"-","")&amp;INT(ABS(A290)/1000)&amp;"+"&amp;TEXT(MOD(ABS(A290),1000),"000.000"))</f>
        <v/>
      </c>
      <c r="C290" s="16">
        <f>IF(A290="","",A290-$B$17)</f>
        <v/>
      </c>
      <c r="D290" s="16">
        <f>IF(A290="","",ROUND($B$15+$B$25*(A290-$B$17),9))</f>
        <v/>
      </c>
      <c r="E290" s="16">
        <f>IF(A290="","",ROUND(D290-$B$15,9))</f>
        <v/>
      </c>
    </row>
    <row r="291">
      <c r="A291" s="16">
        <f>IF(OR(A290="",A290&gt;=$B$18),"",MIN($B$18,(FLOOR(A290/$B$19+0.000000001,1)+1)*$B$19))</f>
        <v/>
      </c>
      <c r="B291" s="17">
        <f>IF(A291="","",IF(A291&lt;0,"-","")&amp;INT(ABS(A291)/1000)&amp;"+"&amp;TEXT(MOD(ABS(A291),1000),"000.000"))</f>
        <v/>
      </c>
      <c r="C291" s="16">
        <f>IF(A291="","",A291-$B$17)</f>
        <v/>
      </c>
      <c r="D291" s="16">
        <f>IF(A291="","",ROUND($B$15+$B$25*(A291-$B$17),9))</f>
        <v/>
      </c>
      <c r="E291" s="16">
        <f>IF(A291="","",ROUND(D291-$B$15,9))</f>
        <v/>
      </c>
    </row>
    <row r="292">
      <c r="A292" s="16">
        <f>IF(OR(A291="",A291&gt;=$B$18),"",MIN($B$18,(FLOOR(A291/$B$19+0.000000001,1)+1)*$B$19))</f>
        <v/>
      </c>
      <c r="B292" s="17">
        <f>IF(A292="","",IF(A292&lt;0,"-","")&amp;INT(ABS(A292)/1000)&amp;"+"&amp;TEXT(MOD(ABS(A292),1000),"000.000"))</f>
        <v/>
      </c>
      <c r="C292" s="16">
        <f>IF(A292="","",A292-$B$17)</f>
        <v/>
      </c>
      <c r="D292" s="16">
        <f>IF(A292="","",ROUND($B$15+$B$25*(A292-$B$17),9))</f>
        <v/>
      </c>
      <c r="E292" s="16">
        <f>IF(A292="","",ROUND(D292-$B$15,9))</f>
        <v/>
      </c>
    </row>
    <row r="293">
      <c r="A293" s="16">
        <f>IF(OR(A292="",A292&gt;=$B$18),"",MIN($B$18,(FLOOR(A292/$B$19+0.000000001,1)+1)*$B$19))</f>
        <v/>
      </c>
      <c r="B293" s="17">
        <f>IF(A293="","",IF(A293&lt;0,"-","")&amp;INT(ABS(A293)/1000)&amp;"+"&amp;TEXT(MOD(ABS(A293),1000),"000.000"))</f>
        <v/>
      </c>
      <c r="C293" s="16">
        <f>IF(A293="","",A293-$B$17)</f>
        <v/>
      </c>
      <c r="D293" s="16">
        <f>IF(A293="","",ROUND($B$15+$B$25*(A293-$B$17),9))</f>
        <v/>
      </c>
      <c r="E293" s="16">
        <f>IF(A293="","",ROUND(D293-$B$15,9))</f>
        <v/>
      </c>
    </row>
    <row r="294">
      <c r="A294" s="16">
        <f>IF(OR(A293="",A293&gt;=$B$18),"",MIN($B$18,(FLOOR(A293/$B$19+0.000000001,1)+1)*$B$19))</f>
        <v/>
      </c>
      <c r="B294" s="17">
        <f>IF(A294="","",IF(A294&lt;0,"-","")&amp;INT(ABS(A294)/1000)&amp;"+"&amp;TEXT(MOD(ABS(A294),1000),"000.000"))</f>
        <v/>
      </c>
      <c r="C294" s="16">
        <f>IF(A294="","",A294-$B$17)</f>
        <v/>
      </c>
      <c r="D294" s="16">
        <f>IF(A294="","",ROUND($B$15+$B$25*(A294-$B$17),9))</f>
        <v/>
      </c>
      <c r="E294" s="16">
        <f>IF(A294="","",ROUND(D294-$B$15,9))</f>
        <v/>
      </c>
    </row>
    <row r="295">
      <c r="A295" s="16">
        <f>IF(OR(A294="",A294&gt;=$B$18),"",MIN($B$18,(FLOOR(A294/$B$19+0.000000001,1)+1)*$B$19))</f>
        <v/>
      </c>
      <c r="B295" s="17">
        <f>IF(A295="","",IF(A295&lt;0,"-","")&amp;INT(ABS(A295)/1000)&amp;"+"&amp;TEXT(MOD(ABS(A295),1000),"000.000"))</f>
        <v/>
      </c>
      <c r="C295" s="16">
        <f>IF(A295="","",A295-$B$17)</f>
        <v/>
      </c>
      <c r="D295" s="16">
        <f>IF(A295="","",ROUND($B$15+$B$25*(A295-$B$17),9))</f>
        <v/>
      </c>
      <c r="E295" s="16">
        <f>IF(A295="","",ROUND(D295-$B$15,9))</f>
        <v/>
      </c>
    </row>
    <row r="296">
      <c r="A296" s="16">
        <f>IF(OR(A295="",A295&gt;=$B$18),"",MIN($B$18,(FLOOR(A295/$B$19+0.000000001,1)+1)*$B$19))</f>
        <v/>
      </c>
      <c r="B296" s="17">
        <f>IF(A296="","",IF(A296&lt;0,"-","")&amp;INT(ABS(A296)/1000)&amp;"+"&amp;TEXT(MOD(ABS(A296),1000),"000.000"))</f>
        <v/>
      </c>
      <c r="C296" s="16">
        <f>IF(A296="","",A296-$B$17)</f>
        <v/>
      </c>
      <c r="D296" s="16">
        <f>IF(A296="","",ROUND($B$15+$B$25*(A296-$B$17),9))</f>
        <v/>
      </c>
      <c r="E296" s="16">
        <f>IF(A296="","",ROUND(D296-$B$15,9))</f>
        <v/>
      </c>
    </row>
    <row r="297">
      <c r="A297" s="16">
        <f>IF(OR(A296="",A296&gt;=$B$18),"",MIN($B$18,(FLOOR(A296/$B$19+0.000000001,1)+1)*$B$19))</f>
        <v/>
      </c>
      <c r="B297" s="17">
        <f>IF(A297="","",IF(A297&lt;0,"-","")&amp;INT(ABS(A297)/1000)&amp;"+"&amp;TEXT(MOD(ABS(A297),1000),"000.000"))</f>
        <v/>
      </c>
      <c r="C297" s="16">
        <f>IF(A297="","",A297-$B$17)</f>
        <v/>
      </c>
      <c r="D297" s="16">
        <f>IF(A297="","",ROUND($B$15+$B$25*(A297-$B$17),9))</f>
        <v/>
      </c>
      <c r="E297" s="16">
        <f>IF(A297="","",ROUND(D297-$B$15,9))</f>
        <v/>
      </c>
    </row>
    <row r="298">
      <c r="A298" s="16">
        <f>IF(OR(A297="",A297&gt;=$B$18),"",MIN($B$18,(FLOOR(A297/$B$19+0.000000001,1)+1)*$B$19))</f>
        <v/>
      </c>
      <c r="B298" s="17">
        <f>IF(A298="","",IF(A298&lt;0,"-","")&amp;INT(ABS(A298)/1000)&amp;"+"&amp;TEXT(MOD(ABS(A298),1000),"000.000"))</f>
        <v/>
      </c>
      <c r="C298" s="16">
        <f>IF(A298="","",A298-$B$17)</f>
        <v/>
      </c>
      <c r="D298" s="16">
        <f>IF(A298="","",ROUND($B$15+$B$25*(A298-$B$17),9))</f>
        <v/>
      </c>
      <c r="E298" s="16">
        <f>IF(A298="","",ROUND(D298-$B$15,9))</f>
        <v/>
      </c>
    </row>
    <row r="299">
      <c r="A299" s="16">
        <f>IF(OR(A298="",A298&gt;=$B$18),"",MIN($B$18,(FLOOR(A298/$B$19+0.000000001,1)+1)*$B$19))</f>
        <v/>
      </c>
      <c r="B299" s="17">
        <f>IF(A299="","",IF(A299&lt;0,"-","")&amp;INT(ABS(A299)/1000)&amp;"+"&amp;TEXT(MOD(ABS(A299),1000),"000.000"))</f>
        <v/>
      </c>
      <c r="C299" s="16">
        <f>IF(A299="","",A299-$B$17)</f>
        <v/>
      </c>
      <c r="D299" s="16">
        <f>IF(A299="","",ROUND($B$15+$B$25*(A299-$B$17),9))</f>
        <v/>
      </c>
      <c r="E299" s="16">
        <f>IF(A299="","",ROUND(D299-$B$15,9))</f>
        <v/>
      </c>
    </row>
    <row r="300">
      <c r="A300" s="16">
        <f>IF(OR(A299="",A299&gt;=$B$18),"",MIN($B$18,(FLOOR(A299/$B$19+0.000000001,1)+1)*$B$19))</f>
        <v/>
      </c>
      <c r="B300" s="17">
        <f>IF(A300="","",IF(A300&lt;0,"-","")&amp;INT(ABS(A300)/1000)&amp;"+"&amp;TEXT(MOD(ABS(A300),1000),"000.000"))</f>
        <v/>
      </c>
      <c r="C300" s="16">
        <f>IF(A300="","",A300-$B$17)</f>
        <v/>
      </c>
      <c r="D300" s="16">
        <f>IF(A300="","",ROUND($B$15+$B$25*(A300-$B$17),9))</f>
        <v/>
      </c>
      <c r="E300" s="16">
        <f>IF(A300="","",ROUND(D300-$B$15,9))</f>
        <v/>
      </c>
    </row>
    <row r="301">
      <c r="A301" s="16">
        <f>IF(OR(A300="",A300&gt;=$B$18),"",MIN($B$18,(FLOOR(A300/$B$19+0.000000001,1)+1)*$B$19))</f>
        <v/>
      </c>
      <c r="B301" s="17">
        <f>IF(A301="","",IF(A301&lt;0,"-","")&amp;INT(ABS(A301)/1000)&amp;"+"&amp;TEXT(MOD(ABS(A301),1000),"000.000"))</f>
        <v/>
      </c>
      <c r="C301" s="16">
        <f>IF(A301="","",A301-$B$17)</f>
        <v/>
      </c>
      <c r="D301" s="16">
        <f>IF(A301="","",ROUND($B$15+$B$25*(A301-$B$17),9))</f>
        <v/>
      </c>
      <c r="E301" s="16">
        <f>IF(A301="","",ROUND(D301-$B$15,9))</f>
        <v/>
      </c>
    </row>
    <row r="302">
      <c r="A302" s="16">
        <f>IF(OR(A301="",A301&gt;=$B$18),"",MIN($B$18,(FLOOR(A301/$B$19+0.000000001,1)+1)*$B$19))</f>
        <v/>
      </c>
      <c r="B302" s="17">
        <f>IF(A302="","",IF(A302&lt;0,"-","")&amp;INT(ABS(A302)/1000)&amp;"+"&amp;TEXT(MOD(ABS(A302),1000),"000.000"))</f>
        <v/>
      </c>
      <c r="C302" s="16">
        <f>IF(A302="","",A302-$B$17)</f>
        <v/>
      </c>
      <c r="D302" s="16">
        <f>IF(A302="","",ROUND($B$15+$B$25*(A302-$B$17),9))</f>
        <v/>
      </c>
      <c r="E302" s="16">
        <f>IF(A302="","",ROUND(D302-$B$15,9))</f>
        <v/>
      </c>
    </row>
    <row r="303">
      <c r="A303" s="16">
        <f>IF(OR(A302="",A302&gt;=$B$18),"",MIN($B$18,(FLOOR(A302/$B$19+0.000000001,1)+1)*$B$19))</f>
        <v/>
      </c>
      <c r="B303" s="17">
        <f>IF(A303="","",IF(A303&lt;0,"-","")&amp;INT(ABS(A303)/1000)&amp;"+"&amp;TEXT(MOD(ABS(A303),1000),"000.000"))</f>
        <v/>
      </c>
      <c r="C303" s="16">
        <f>IF(A303="","",A303-$B$17)</f>
        <v/>
      </c>
      <c r="D303" s="16">
        <f>IF(A303="","",ROUND($B$15+$B$25*(A303-$B$17),9))</f>
        <v/>
      </c>
      <c r="E303" s="16">
        <f>IF(A303="","",ROUND(D303-$B$15,9))</f>
        <v/>
      </c>
    </row>
    <row r="304">
      <c r="A304" s="16">
        <f>IF(OR(A303="",A303&gt;=$B$18),"",MIN($B$18,(FLOOR(A303/$B$19+0.000000001,1)+1)*$B$19))</f>
        <v/>
      </c>
      <c r="B304" s="17">
        <f>IF(A304="","",IF(A304&lt;0,"-","")&amp;INT(ABS(A304)/1000)&amp;"+"&amp;TEXT(MOD(ABS(A304),1000),"000.000"))</f>
        <v/>
      </c>
      <c r="C304" s="16">
        <f>IF(A304="","",A304-$B$17)</f>
        <v/>
      </c>
      <c r="D304" s="16">
        <f>IF(A304="","",ROUND($B$15+$B$25*(A304-$B$17),9))</f>
        <v/>
      </c>
      <c r="E304" s="16">
        <f>IF(A304="","",ROUND(D304-$B$15,9))</f>
        <v/>
      </c>
    </row>
    <row r="305">
      <c r="A305" s="16">
        <f>IF(OR(A304="",A304&gt;=$B$18),"",MIN($B$18,(FLOOR(A304/$B$19+0.000000001,1)+1)*$B$19))</f>
        <v/>
      </c>
      <c r="B305" s="17">
        <f>IF(A305="","",IF(A305&lt;0,"-","")&amp;INT(ABS(A305)/1000)&amp;"+"&amp;TEXT(MOD(ABS(A305),1000),"000.000"))</f>
        <v/>
      </c>
      <c r="C305" s="16">
        <f>IF(A305="","",A305-$B$17)</f>
        <v/>
      </c>
      <c r="D305" s="16">
        <f>IF(A305="","",ROUND($B$15+$B$25*(A305-$B$17),9))</f>
        <v/>
      </c>
      <c r="E305" s="16">
        <f>IF(A305="","",ROUND(D305-$B$15,9))</f>
        <v/>
      </c>
    </row>
    <row r="306">
      <c r="A306" s="16">
        <f>IF(OR(A305="",A305&gt;=$B$18),"",MIN($B$18,(FLOOR(A305/$B$19+0.000000001,1)+1)*$B$19))</f>
        <v/>
      </c>
      <c r="B306" s="17">
        <f>IF(A306="","",IF(A306&lt;0,"-","")&amp;INT(ABS(A306)/1000)&amp;"+"&amp;TEXT(MOD(ABS(A306),1000),"000.000"))</f>
        <v/>
      </c>
      <c r="C306" s="16">
        <f>IF(A306="","",A306-$B$17)</f>
        <v/>
      </c>
      <c r="D306" s="16">
        <f>IF(A306="","",ROUND($B$15+$B$25*(A306-$B$17),9))</f>
        <v/>
      </c>
      <c r="E306" s="16">
        <f>IF(A306="","",ROUND(D306-$B$15,9))</f>
        <v/>
      </c>
    </row>
    <row r="307">
      <c r="A307" s="16">
        <f>IF(OR(A306="",A306&gt;=$B$18),"",MIN($B$18,(FLOOR(A306/$B$19+0.000000001,1)+1)*$B$19))</f>
        <v/>
      </c>
      <c r="B307" s="17">
        <f>IF(A307="","",IF(A307&lt;0,"-","")&amp;INT(ABS(A307)/1000)&amp;"+"&amp;TEXT(MOD(ABS(A307),1000),"000.000"))</f>
        <v/>
      </c>
      <c r="C307" s="16">
        <f>IF(A307="","",A307-$B$17)</f>
        <v/>
      </c>
      <c r="D307" s="16">
        <f>IF(A307="","",ROUND($B$15+$B$25*(A307-$B$17),9))</f>
        <v/>
      </c>
      <c r="E307" s="16">
        <f>IF(A307="","",ROUND(D307-$B$15,9))</f>
        <v/>
      </c>
    </row>
    <row r="308">
      <c r="A308" s="16">
        <f>IF(OR(A307="",A307&gt;=$B$18),"",MIN($B$18,(FLOOR(A307/$B$19+0.000000001,1)+1)*$B$19))</f>
        <v/>
      </c>
      <c r="B308" s="17">
        <f>IF(A308="","",IF(A308&lt;0,"-","")&amp;INT(ABS(A308)/1000)&amp;"+"&amp;TEXT(MOD(ABS(A308),1000),"000.000"))</f>
        <v/>
      </c>
      <c r="C308" s="16">
        <f>IF(A308="","",A308-$B$17)</f>
        <v/>
      </c>
      <c r="D308" s="16">
        <f>IF(A308="","",ROUND($B$15+$B$25*(A308-$B$17),9))</f>
        <v/>
      </c>
      <c r="E308" s="16">
        <f>IF(A308="","",ROUND(D308-$B$15,9))</f>
        <v/>
      </c>
    </row>
    <row r="309">
      <c r="A309" s="16">
        <f>IF(OR(A308="",A308&gt;=$B$18),"",MIN($B$18,(FLOOR(A308/$B$19+0.000000001,1)+1)*$B$19))</f>
        <v/>
      </c>
      <c r="B309" s="17">
        <f>IF(A309="","",IF(A309&lt;0,"-","")&amp;INT(ABS(A309)/1000)&amp;"+"&amp;TEXT(MOD(ABS(A309),1000),"000.000"))</f>
        <v/>
      </c>
      <c r="C309" s="16">
        <f>IF(A309="","",A309-$B$17)</f>
        <v/>
      </c>
      <c r="D309" s="16">
        <f>IF(A309="","",ROUND($B$15+$B$25*(A309-$B$17),9))</f>
        <v/>
      </c>
      <c r="E309" s="16">
        <f>IF(A309="","",ROUND(D309-$B$15,9))</f>
        <v/>
      </c>
    </row>
    <row r="310">
      <c r="A310" s="16">
        <f>IF(OR(A309="",A309&gt;=$B$18),"",MIN($B$18,(FLOOR(A309/$B$19+0.000000001,1)+1)*$B$19))</f>
        <v/>
      </c>
      <c r="B310" s="17">
        <f>IF(A310="","",IF(A310&lt;0,"-","")&amp;INT(ABS(A310)/1000)&amp;"+"&amp;TEXT(MOD(ABS(A310),1000),"000.000"))</f>
        <v/>
      </c>
      <c r="C310" s="16">
        <f>IF(A310="","",A310-$B$17)</f>
        <v/>
      </c>
      <c r="D310" s="16">
        <f>IF(A310="","",ROUND($B$15+$B$25*(A310-$B$17),9))</f>
        <v/>
      </c>
      <c r="E310" s="16">
        <f>IF(A310="","",ROUND(D310-$B$15,9))</f>
        <v/>
      </c>
    </row>
    <row r="311">
      <c r="A311" s="16">
        <f>IF(OR(A310="",A310&gt;=$B$18),"",MIN($B$18,(FLOOR(A310/$B$19+0.000000001,1)+1)*$B$19))</f>
        <v/>
      </c>
      <c r="B311" s="17">
        <f>IF(A311="","",IF(A311&lt;0,"-","")&amp;INT(ABS(A311)/1000)&amp;"+"&amp;TEXT(MOD(ABS(A311),1000),"000.000"))</f>
        <v/>
      </c>
      <c r="C311" s="16">
        <f>IF(A311="","",A311-$B$17)</f>
        <v/>
      </c>
      <c r="D311" s="16">
        <f>IF(A311="","",ROUND($B$15+$B$25*(A311-$B$17),9))</f>
        <v/>
      </c>
      <c r="E311" s="16">
        <f>IF(A311="","",ROUND(D311-$B$15,9))</f>
        <v/>
      </c>
    </row>
    <row r="312">
      <c r="A312" s="16">
        <f>IF(OR(A311="",A311&gt;=$B$18),"",MIN($B$18,(FLOOR(A311/$B$19+0.000000001,1)+1)*$B$19))</f>
        <v/>
      </c>
      <c r="B312" s="17">
        <f>IF(A312="","",IF(A312&lt;0,"-","")&amp;INT(ABS(A312)/1000)&amp;"+"&amp;TEXT(MOD(ABS(A312),1000),"000.000"))</f>
        <v/>
      </c>
      <c r="C312" s="16">
        <f>IF(A312="","",A312-$B$17)</f>
        <v/>
      </c>
      <c r="D312" s="16">
        <f>IF(A312="","",ROUND($B$15+$B$25*(A312-$B$17),9))</f>
        <v/>
      </c>
      <c r="E312" s="16">
        <f>IF(A312="","",ROUND(D312-$B$15,9))</f>
        <v/>
      </c>
    </row>
    <row r="313">
      <c r="A313" s="16">
        <f>IF(OR(A312="",A312&gt;=$B$18),"",MIN($B$18,(FLOOR(A312/$B$19+0.000000001,1)+1)*$B$19))</f>
        <v/>
      </c>
      <c r="B313" s="17">
        <f>IF(A313="","",IF(A313&lt;0,"-","")&amp;INT(ABS(A313)/1000)&amp;"+"&amp;TEXT(MOD(ABS(A313),1000),"000.000"))</f>
        <v/>
      </c>
      <c r="C313" s="16">
        <f>IF(A313="","",A313-$B$17)</f>
        <v/>
      </c>
      <c r="D313" s="16">
        <f>IF(A313="","",ROUND($B$15+$B$25*(A313-$B$17),9))</f>
        <v/>
      </c>
      <c r="E313" s="16">
        <f>IF(A313="","",ROUND(D313-$B$15,9))</f>
        <v/>
      </c>
    </row>
    <row r="314">
      <c r="A314" s="16">
        <f>IF(OR(A313="",A313&gt;=$B$18),"",MIN($B$18,(FLOOR(A313/$B$19+0.000000001,1)+1)*$B$19))</f>
        <v/>
      </c>
      <c r="B314" s="17">
        <f>IF(A314="","",IF(A314&lt;0,"-","")&amp;INT(ABS(A314)/1000)&amp;"+"&amp;TEXT(MOD(ABS(A314),1000),"000.000"))</f>
        <v/>
      </c>
      <c r="C314" s="16">
        <f>IF(A314="","",A314-$B$17)</f>
        <v/>
      </c>
      <c r="D314" s="16">
        <f>IF(A314="","",ROUND($B$15+$B$25*(A314-$B$17),9))</f>
        <v/>
      </c>
      <c r="E314" s="16">
        <f>IF(A314="","",ROUND(D314-$B$15,9))</f>
        <v/>
      </c>
    </row>
    <row r="315">
      <c r="A315" s="16">
        <f>IF(OR(A314="",A314&gt;=$B$18),"",MIN($B$18,(FLOOR(A314/$B$19+0.000000001,1)+1)*$B$19))</f>
        <v/>
      </c>
      <c r="B315" s="17">
        <f>IF(A315="","",IF(A315&lt;0,"-","")&amp;INT(ABS(A315)/1000)&amp;"+"&amp;TEXT(MOD(ABS(A315),1000),"000.000"))</f>
        <v/>
      </c>
      <c r="C315" s="16">
        <f>IF(A315="","",A315-$B$17)</f>
        <v/>
      </c>
      <c r="D315" s="16">
        <f>IF(A315="","",ROUND($B$15+$B$25*(A315-$B$17),9))</f>
        <v/>
      </c>
      <c r="E315" s="16">
        <f>IF(A315="","",ROUND(D315-$B$15,9))</f>
        <v/>
      </c>
    </row>
    <row r="316">
      <c r="A316" s="16">
        <f>IF(OR(A315="",A315&gt;=$B$18),"",MIN($B$18,(FLOOR(A315/$B$19+0.000000001,1)+1)*$B$19))</f>
        <v/>
      </c>
      <c r="B316" s="17">
        <f>IF(A316="","",IF(A316&lt;0,"-","")&amp;INT(ABS(A316)/1000)&amp;"+"&amp;TEXT(MOD(ABS(A316),1000),"000.000"))</f>
        <v/>
      </c>
      <c r="C316" s="16">
        <f>IF(A316="","",A316-$B$17)</f>
        <v/>
      </c>
      <c r="D316" s="16">
        <f>IF(A316="","",ROUND($B$15+$B$25*(A316-$B$17),9))</f>
        <v/>
      </c>
      <c r="E316" s="16">
        <f>IF(A316="","",ROUND(D316-$B$15,9))</f>
        <v/>
      </c>
    </row>
    <row r="317">
      <c r="A317" s="16">
        <f>IF(OR(A316="",A316&gt;=$B$18),"",MIN($B$18,(FLOOR(A316/$B$19+0.000000001,1)+1)*$B$19))</f>
        <v/>
      </c>
      <c r="B317" s="17">
        <f>IF(A317="","",IF(A317&lt;0,"-","")&amp;INT(ABS(A317)/1000)&amp;"+"&amp;TEXT(MOD(ABS(A317),1000),"000.000"))</f>
        <v/>
      </c>
      <c r="C317" s="16">
        <f>IF(A317="","",A317-$B$17)</f>
        <v/>
      </c>
      <c r="D317" s="16">
        <f>IF(A317="","",ROUND($B$15+$B$25*(A317-$B$17),9))</f>
        <v/>
      </c>
      <c r="E317" s="16">
        <f>IF(A317="","",ROUND(D317-$B$15,9))</f>
        <v/>
      </c>
    </row>
    <row r="318">
      <c r="A318" s="16">
        <f>IF(OR(A317="",A317&gt;=$B$18),"",MIN($B$18,(FLOOR(A317/$B$19+0.000000001,1)+1)*$B$19))</f>
        <v/>
      </c>
      <c r="B318" s="17">
        <f>IF(A318="","",IF(A318&lt;0,"-","")&amp;INT(ABS(A318)/1000)&amp;"+"&amp;TEXT(MOD(ABS(A318),1000),"000.000"))</f>
        <v/>
      </c>
      <c r="C318" s="16">
        <f>IF(A318="","",A318-$B$17)</f>
        <v/>
      </c>
      <c r="D318" s="16">
        <f>IF(A318="","",ROUND($B$15+$B$25*(A318-$B$17),9))</f>
        <v/>
      </c>
      <c r="E318" s="16">
        <f>IF(A318="","",ROUND(D318-$B$15,9))</f>
        <v/>
      </c>
    </row>
    <row r="319">
      <c r="A319" s="16">
        <f>IF(OR(A318="",A318&gt;=$B$18),"",MIN($B$18,(FLOOR(A318/$B$19+0.000000001,1)+1)*$B$19))</f>
        <v/>
      </c>
      <c r="B319" s="17">
        <f>IF(A319="","",IF(A319&lt;0,"-","")&amp;INT(ABS(A319)/1000)&amp;"+"&amp;TEXT(MOD(ABS(A319),1000),"000.000"))</f>
        <v/>
      </c>
      <c r="C319" s="16">
        <f>IF(A319="","",A319-$B$17)</f>
        <v/>
      </c>
      <c r="D319" s="16">
        <f>IF(A319="","",ROUND($B$15+$B$25*(A319-$B$17),9))</f>
        <v/>
      </c>
      <c r="E319" s="16">
        <f>IF(A319="","",ROUND(D319-$B$15,9))</f>
        <v/>
      </c>
    </row>
    <row r="320">
      <c r="A320" s="16">
        <f>IF(OR(A319="",A319&gt;=$B$18),"",MIN($B$18,(FLOOR(A319/$B$19+0.000000001,1)+1)*$B$19))</f>
        <v/>
      </c>
      <c r="B320" s="17">
        <f>IF(A320="","",IF(A320&lt;0,"-","")&amp;INT(ABS(A320)/1000)&amp;"+"&amp;TEXT(MOD(ABS(A320),1000),"000.000"))</f>
        <v/>
      </c>
      <c r="C320" s="16">
        <f>IF(A320="","",A320-$B$17)</f>
        <v/>
      </c>
      <c r="D320" s="16">
        <f>IF(A320="","",ROUND($B$15+$B$25*(A320-$B$17),9))</f>
        <v/>
      </c>
      <c r="E320" s="16">
        <f>IF(A320="","",ROUND(D320-$B$15,9))</f>
        <v/>
      </c>
    </row>
    <row r="321">
      <c r="A321" s="16">
        <f>IF(OR(A320="",A320&gt;=$B$18),"",MIN($B$18,(FLOOR(A320/$B$19+0.000000001,1)+1)*$B$19))</f>
        <v/>
      </c>
      <c r="B321" s="17">
        <f>IF(A321="","",IF(A321&lt;0,"-","")&amp;INT(ABS(A321)/1000)&amp;"+"&amp;TEXT(MOD(ABS(A321),1000),"000.000"))</f>
        <v/>
      </c>
      <c r="C321" s="16">
        <f>IF(A321="","",A321-$B$17)</f>
        <v/>
      </c>
      <c r="D321" s="16">
        <f>IF(A321="","",ROUND($B$15+$B$25*(A321-$B$17),9))</f>
        <v/>
      </c>
      <c r="E321" s="16">
        <f>IF(A321="","",ROUND(D321-$B$15,9))</f>
        <v/>
      </c>
    </row>
    <row r="322">
      <c r="A322" s="16">
        <f>IF(OR(A321="",A321&gt;=$B$18),"",MIN($B$18,(FLOOR(A321/$B$19+0.000000001,1)+1)*$B$19))</f>
        <v/>
      </c>
      <c r="B322" s="17">
        <f>IF(A322="","",IF(A322&lt;0,"-","")&amp;INT(ABS(A322)/1000)&amp;"+"&amp;TEXT(MOD(ABS(A322),1000),"000.000"))</f>
        <v/>
      </c>
      <c r="C322" s="16">
        <f>IF(A322="","",A322-$B$17)</f>
        <v/>
      </c>
      <c r="D322" s="16">
        <f>IF(A322="","",ROUND($B$15+$B$25*(A322-$B$17),9))</f>
        <v/>
      </c>
      <c r="E322" s="16">
        <f>IF(A322="","",ROUND(D322-$B$15,9))</f>
        <v/>
      </c>
    </row>
    <row r="323">
      <c r="A323" s="16">
        <f>IF(OR(A322="",A322&gt;=$B$18),"",MIN($B$18,(FLOOR(A322/$B$19+0.000000001,1)+1)*$B$19))</f>
        <v/>
      </c>
      <c r="B323" s="17">
        <f>IF(A323="","",IF(A323&lt;0,"-","")&amp;INT(ABS(A323)/1000)&amp;"+"&amp;TEXT(MOD(ABS(A323),1000),"000.000"))</f>
        <v/>
      </c>
      <c r="C323" s="16">
        <f>IF(A323="","",A323-$B$17)</f>
        <v/>
      </c>
      <c r="D323" s="16">
        <f>IF(A323="","",ROUND($B$15+$B$25*(A323-$B$17),9))</f>
        <v/>
      </c>
      <c r="E323" s="16">
        <f>IF(A323="","",ROUND(D323-$B$15,9))</f>
        <v/>
      </c>
    </row>
    <row r="324">
      <c r="A324" s="16">
        <f>IF(OR(A323="",A323&gt;=$B$18),"",MIN($B$18,(FLOOR(A323/$B$19+0.000000001,1)+1)*$B$19))</f>
        <v/>
      </c>
      <c r="B324" s="17">
        <f>IF(A324="","",IF(A324&lt;0,"-","")&amp;INT(ABS(A324)/1000)&amp;"+"&amp;TEXT(MOD(ABS(A324),1000),"000.000"))</f>
        <v/>
      </c>
      <c r="C324" s="16">
        <f>IF(A324="","",A324-$B$17)</f>
        <v/>
      </c>
      <c r="D324" s="16">
        <f>IF(A324="","",ROUND($B$15+$B$25*(A324-$B$17),9))</f>
        <v/>
      </c>
      <c r="E324" s="16">
        <f>IF(A324="","",ROUND(D324-$B$15,9))</f>
        <v/>
      </c>
    </row>
    <row r="325">
      <c r="A325" s="16">
        <f>IF(OR(A324="",A324&gt;=$B$18),"",MIN($B$18,(FLOOR(A324/$B$19+0.000000001,1)+1)*$B$19))</f>
        <v/>
      </c>
      <c r="B325" s="17">
        <f>IF(A325="","",IF(A325&lt;0,"-","")&amp;INT(ABS(A325)/1000)&amp;"+"&amp;TEXT(MOD(ABS(A325),1000),"000.000"))</f>
        <v/>
      </c>
      <c r="C325" s="16">
        <f>IF(A325="","",A325-$B$17)</f>
        <v/>
      </c>
      <c r="D325" s="16">
        <f>IF(A325="","",ROUND($B$15+$B$25*(A325-$B$17),9))</f>
        <v/>
      </c>
      <c r="E325" s="16">
        <f>IF(A325="","",ROUND(D325-$B$15,9))</f>
        <v/>
      </c>
    </row>
    <row r="326">
      <c r="A326" s="16">
        <f>IF(OR(A325="",A325&gt;=$B$18),"",MIN($B$18,(FLOOR(A325/$B$19+0.000000001,1)+1)*$B$19))</f>
        <v/>
      </c>
      <c r="B326" s="17">
        <f>IF(A326="","",IF(A326&lt;0,"-","")&amp;INT(ABS(A326)/1000)&amp;"+"&amp;TEXT(MOD(ABS(A326),1000),"000.000"))</f>
        <v/>
      </c>
      <c r="C326" s="16">
        <f>IF(A326="","",A326-$B$17)</f>
        <v/>
      </c>
      <c r="D326" s="16">
        <f>IF(A326="","",ROUND($B$15+$B$25*(A326-$B$17),9))</f>
        <v/>
      </c>
      <c r="E326" s="16">
        <f>IF(A326="","",ROUND(D326-$B$15,9))</f>
        <v/>
      </c>
    </row>
    <row r="327">
      <c r="A327" s="16">
        <f>IF(OR(A326="",A326&gt;=$B$18),"",MIN($B$18,(FLOOR(A326/$B$19+0.000000001,1)+1)*$B$19))</f>
        <v/>
      </c>
      <c r="B327" s="17">
        <f>IF(A327="","",IF(A327&lt;0,"-","")&amp;INT(ABS(A327)/1000)&amp;"+"&amp;TEXT(MOD(ABS(A327),1000),"000.000"))</f>
        <v/>
      </c>
      <c r="C327" s="16">
        <f>IF(A327="","",A327-$B$17)</f>
        <v/>
      </c>
      <c r="D327" s="16">
        <f>IF(A327="","",ROUND($B$15+$B$25*(A327-$B$17),9))</f>
        <v/>
      </c>
      <c r="E327" s="16">
        <f>IF(A327="","",ROUND(D327-$B$15,9))</f>
        <v/>
      </c>
    </row>
    <row r="328">
      <c r="A328" s="16">
        <f>IF(OR(A327="",A327&gt;=$B$18),"",MIN($B$18,(FLOOR(A327/$B$19+0.000000001,1)+1)*$B$19))</f>
        <v/>
      </c>
      <c r="B328" s="17">
        <f>IF(A328="","",IF(A328&lt;0,"-","")&amp;INT(ABS(A328)/1000)&amp;"+"&amp;TEXT(MOD(ABS(A328),1000),"000.000"))</f>
        <v/>
      </c>
      <c r="C328" s="16">
        <f>IF(A328="","",A328-$B$17)</f>
        <v/>
      </c>
      <c r="D328" s="16">
        <f>IF(A328="","",ROUND($B$15+$B$25*(A328-$B$17),9))</f>
        <v/>
      </c>
      <c r="E328" s="16">
        <f>IF(A328="","",ROUND(D328-$B$15,9))</f>
        <v/>
      </c>
    </row>
    <row r="329">
      <c r="A329" s="16">
        <f>IF(OR(A328="",A328&gt;=$B$18),"",MIN($B$18,(FLOOR(A328/$B$19+0.000000001,1)+1)*$B$19))</f>
        <v/>
      </c>
      <c r="B329" s="17">
        <f>IF(A329="","",IF(A329&lt;0,"-","")&amp;INT(ABS(A329)/1000)&amp;"+"&amp;TEXT(MOD(ABS(A329),1000),"000.000"))</f>
        <v/>
      </c>
      <c r="C329" s="16">
        <f>IF(A329="","",A329-$B$17)</f>
        <v/>
      </c>
      <c r="D329" s="16">
        <f>IF(A329="","",ROUND($B$15+$B$25*(A329-$B$17),9))</f>
        <v/>
      </c>
      <c r="E329" s="16">
        <f>IF(A329="","",ROUND(D329-$B$15,9))</f>
        <v/>
      </c>
    </row>
    <row r="330">
      <c r="A330" s="16">
        <f>IF(OR(A329="",A329&gt;=$B$18),"",MIN($B$18,(FLOOR(A329/$B$19+0.000000001,1)+1)*$B$19))</f>
        <v/>
      </c>
      <c r="B330" s="17">
        <f>IF(A330="","",IF(A330&lt;0,"-","")&amp;INT(ABS(A330)/1000)&amp;"+"&amp;TEXT(MOD(ABS(A330),1000),"000.000"))</f>
        <v/>
      </c>
      <c r="C330" s="16">
        <f>IF(A330="","",A330-$B$17)</f>
        <v/>
      </c>
      <c r="D330" s="16">
        <f>IF(A330="","",ROUND($B$15+$B$25*(A330-$B$17),9))</f>
        <v/>
      </c>
      <c r="E330" s="16">
        <f>IF(A330="","",ROUND(D330-$B$15,9))</f>
        <v/>
      </c>
    </row>
    <row r="331">
      <c r="A331" s="16">
        <f>IF(OR(A330="",A330&gt;=$B$18),"",MIN($B$18,(FLOOR(A330/$B$19+0.000000001,1)+1)*$B$19))</f>
        <v/>
      </c>
      <c r="B331" s="17">
        <f>IF(A331="","",IF(A331&lt;0,"-","")&amp;INT(ABS(A331)/1000)&amp;"+"&amp;TEXT(MOD(ABS(A331),1000),"000.000"))</f>
        <v/>
      </c>
      <c r="C331" s="16">
        <f>IF(A331="","",A331-$B$17)</f>
        <v/>
      </c>
      <c r="D331" s="16">
        <f>IF(A331="","",ROUND($B$15+$B$25*(A331-$B$17),9))</f>
        <v/>
      </c>
      <c r="E331" s="16">
        <f>IF(A331="","",ROUND(D331-$B$15,9))</f>
        <v/>
      </c>
    </row>
    <row r="332">
      <c r="A332" s="16">
        <f>IF(OR(A331="",A331&gt;=$B$18),"",MIN($B$18,(FLOOR(A331/$B$19+0.000000001,1)+1)*$B$19))</f>
        <v/>
      </c>
      <c r="B332" s="17">
        <f>IF(A332="","",IF(A332&lt;0,"-","")&amp;INT(ABS(A332)/1000)&amp;"+"&amp;TEXT(MOD(ABS(A332),1000),"000.000"))</f>
        <v/>
      </c>
      <c r="C332" s="16">
        <f>IF(A332="","",A332-$B$17)</f>
        <v/>
      </c>
      <c r="D332" s="16">
        <f>IF(A332="","",ROUND($B$15+$B$25*(A332-$B$17),9))</f>
        <v/>
      </c>
      <c r="E332" s="16">
        <f>IF(A332="","",ROUND(D332-$B$15,9))</f>
        <v/>
      </c>
    </row>
    <row r="333">
      <c r="A333" s="16">
        <f>IF(OR(A332="",A332&gt;=$B$18),"",MIN($B$18,(FLOOR(A332/$B$19+0.000000001,1)+1)*$B$19))</f>
        <v/>
      </c>
      <c r="B333" s="17">
        <f>IF(A333="","",IF(A333&lt;0,"-","")&amp;INT(ABS(A333)/1000)&amp;"+"&amp;TEXT(MOD(ABS(A333),1000),"000.000"))</f>
        <v/>
      </c>
      <c r="C333" s="16">
        <f>IF(A333="","",A333-$B$17)</f>
        <v/>
      </c>
      <c r="D333" s="16">
        <f>IF(A333="","",ROUND($B$15+$B$25*(A333-$B$17),9))</f>
        <v/>
      </c>
      <c r="E333" s="16">
        <f>IF(A333="","",ROUND(D333-$B$15,9))</f>
        <v/>
      </c>
    </row>
    <row r="334">
      <c r="A334" s="16">
        <f>IF(OR(A333="",A333&gt;=$B$18),"",MIN($B$18,(FLOOR(A333/$B$19+0.000000001,1)+1)*$B$19))</f>
        <v/>
      </c>
      <c r="B334" s="17">
        <f>IF(A334="","",IF(A334&lt;0,"-","")&amp;INT(ABS(A334)/1000)&amp;"+"&amp;TEXT(MOD(ABS(A334),1000),"000.000"))</f>
        <v/>
      </c>
      <c r="C334" s="16">
        <f>IF(A334="","",A334-$B$17)</f>
        <v/>
      </c>
      <c r="D334" s="16">
        <f>IF(A334="","",ROUND($B$15+$B$25*(A334-$B$17),9))</f>
        <v/>
      </c>
      <c r="E334" s="16">
        <f>IF(A334="","",ROUND(D334-$B$15,9))</f>
        <v/>
      </c>
    </row>
    <row r="335">
      <c r="A335" s="16">
        <f>IF(OR(A334="",A334&gt;=$B$18),"",MIN($B$18,(FLOOR(A334/$B$19+0.000000001,1)+1)*$B$19))</f>
        <v/>
      </c>
      <c r="B335" s="17">
        <f>IF(A335="","",IF(A335&lt;0,"-","")&amp;INT(ABS(A335)/1000)&amp;"+"&amp;TEXT(MOD(ABS(A335),1000),"000.000"))</f>
        <v/>
      </c>
      <c r="C335" s="16">
        <f>IF(A335="","",A335-$B$17)</f>
        <v/>
      </c>
      <c r="D335" s="16">
        <f>IF(A335="","",ROUND($B$15+$B$25*(A335-$B$17),9))</f>
        <v/>
      </c>
      <c r="E335" s="16">
        <f>IF(A335="","",ROUND(D335-$B$15,9))</f>
        <v/>
      </c>
    </row>
    <row r="336">
      <c r="A336" s="16">
        <f>IF(OR(A335="",A335&gt;=$B$18),"",MIN($B$18,(FLOOR(A335/$B$19+0.000000001,1)+1)*$B$19))</f>
        <v/>
      </c>
      <c r="B336" s="17">
        <f>IF(A336="","",IF(A336&lt;0,"-","")&amp;INT(ABS(A336)/1000)&amp;"+"&amp;TEXT(MOD(ABS(A336),1000),"000.000"))</f>
        <v/>
      </c>
      <c r="C336" s="16">
        <f>IF(A336="","",A336-$B$17)</f>
        <v/>
      </c>
      <c r="D336" s="16">
        <f>IF(A336="","",ROUND($B$15+$B$25*(A336-$B$17),9))</f>
        <v/>
      </c>
      <c r="E336" s="16">
        <f>IF(A336="","",ROUND(D336-$B$15,9))</f>
        <v/>
      </c>
    </row>
    <row r="337">
      <c r="A337" s="16">
        <f>IF(OR(A336="",A336&gt;=$B$18),"",MIN($B$18,(FLOOR(A336/$B$19+0.000000001,1)+1)*$B$19))</f>
        <v/>
      </c>
      <c r="B337" s="17">
        <f>IF(A337="","",IF(A337&lt;0,"-","")&amp;INT(ABS(A337)/1000)&amp;"+"&amp;TEXT(MOD(ABS(A337),1000),"000.000"))</f>
        <v/>
      </c>
      <c r="C337" s="16">
        <f>IF(A337="","",A337-$B$17)</f>
        <v/>
      </c>
      <c r="D337" s="16">
        <f>IF(A337="","",ROUND($B$15+$B$25*(A337-$B$17),9))</f>
        <v/>
      </c>
      <c r="E337" s="16">
        <f>IF(A337="","",ROUND(D337-$B$15,9))</f>
        <v/>
      </c>
    </row>
    <row r="338">
      <c r="A338" s="16">
        <f>IF(OR(A337="",A337&gt;=$B$18),"",MIN($B$18,(FLOOR(A337/$B$19+0.000000001,1)+1)*$B$19))</f>
        <v/>
      </c>
      <c r="B338" s="17">
        <f>IF(A338="","",IF(A338&lt;0,"-","")&amp;INT(ABS(A338)/1000)&amp;"+"&amp;TEXT(MOD(ABS(A338),1000),"000.000"))</f>
        <v/>
      </c>
      <c r="C338" s="16">
        <f>IF(A338="","",A338-$B$17)</f>
        <v/>
      </c>
      <c r="D338" s="16">
        <f>IF(A338="","",ROUND($B$15+$B$25*(A338-$B$17),9))</f>
        <v/>
      </c>
      <c r="E338" s="16">
        <f>IF(A338="","",ROUND(D338-$B$15,9))</f>
        <v/>
      </c>
    </row>
    <row r="339">
      <c r="A339" s="16">
        <f>IF(OR(A338="",A338&gt;=$B$18),"",MIN($B$18,(FLOOR(A338/$B$19+0.000000001,1)+1)*$B$19))</f>
        <v/>
      </c>
      <c r="B339" s="17">
        <f>IF(A339="","",IF(A339&lt;0,"-","")&amp;INT(ABS(A339)/1000)&amp;"+"&amp;TEXT(MOD(ABS(A339),1000),"000.000"))</f>
        <v/>
      </c>
      <c r="C339" s="16">
        <f>IF(A339="","",A339-$B$17)</f>
        <v/>
      </c>
      <c r="D339" s="16">
        <f>IF(A339="","",ROUND($B$15+$B$25*(A339-$B$17),9))</f>
        <v/>
      </c>
      <c r="E339" s="16">
        <f>IF(A339="","",ROUND(D339-$B$15,9))</f>
        <v/>
      </c>
    </row>
    <row r="340">
      <c r="A340" s="16">
        <f>IF(OR(A339="",A339&gt;=$B$18),"",MIN($B$18,(FLOOR(A339/$B$19+0.000000001,1)+1)*$B$19))</f>
        <v/>
      </c>
      <c r="B340" s="17">
        <f>IF(A340="","",IF(A340&lt;0,"-","")&amp;INT(ABS(A340)/1000)&amp;"+"&amp;TEXT(MOD(ABS(A340),1000),"000.000"))</f>
        <v/>
      </c>
      <c r="C340" s="16">
        <f>IF(A340="","",A340-$B$17)</f>
        <v/>
      </c>
      <c r="D340" s="16">
        <f>IF(A340="","",ROUND($B$15+$B$25*(A340-$B$17),9))</f>
        <v/>
      </c>
      <c r="E340" s="16">
        <f>IF(A340="","",ROUND(D340-$B$15,9))</f>
        <v/>
      </c>
    </row>
    <row r="341">
      <c r="A341" s="16">
        <f>IF(OR(A340="",A340&gt;=$B$18),"",MIN($B$18,(FLOOR(A340/$B$19+0.000000001,1)+1)*$B$19))</f>
        <v/>
      </c>
      <c r="B341" s="17">
        <f>IF(A341="","",IF(A341&lt;0,"-","")&amp;INT(ABS(A341)/1000)&amp;"+"&amp;TEXT(MOD(ABS(A341),1000),"000.000"))</f>
        <v/>
      </c>
      <c r="C341" s="16">
        <f>IF(A341="","",A341-$B$17)</f>
        <v/>
      </c>
      <c r="D341" s="16">
        <f>IF(A341="","",ROUND($B$15+$B$25*(A341-$B$17),9))</f>
        <v/>
      </c>
      <c r="E341" s="16">
        <f>IF(A341="","",ROUND(D341-$B$15,9))</f>
        <v/>
      </c>
    </row>
    <row r="342">
      <c r="A342" s="16">
        <f>IF(OR(A341="",A341&gt;=$B$18),"",MIN($B$18,(FLOOR(A341/$B$19+0.000000001,1)+1)*$B$19))</f>
        <v/>
      </c>
      <c r="B342" s="17">
        <f>IF(A342="","",IF(A342&lt;0,"-","")&amp;INT(ABS(A342)/1000)&amp;"+"&amp;TEXT(MOD(ABS(A342),1000),"000.000"))</f>
        <v/>
      </c>
      <c r="C342" s="16">
        <f>IF(A342="","",A342-$B$17)</f>
        <v/>
      </c>
      <c r="D342" s="16">
        <f>IF(A342="","",ROUND($B$15+$B$25*(A342-$B$17),9))</f>
        <v/>
      </c>
      <c r="E342" s="16">
        <f>IF(A342="","",ROUND(D342-$B$15,9))</f>
        <v/>
      </c>
    </row>
    <row r="343">
      <c r="A343" s="16">
        <f>IF(OR(A342="",A342&gt;=$B$18),"",MIN($B$18,(FLOOR(A342/$B$19+0.000000001,1)+1)*$B$19))</f>
        <v/>
      </c>
      <c r="B343" s="17">
        <f>IF(A343="","",IF(A343&lt;0,"-","")&amp;INT(ABS(A343)/1000)&amp;"+"&amp;TEXT(MOD(ABS(A343),1000),"000.000"))</f>
        <v/>
      </c>
      <c r="C343" s="16">
        <f>IF(A343="","",A343-$B$17)</f>
        <v/>
      </c>
      <c r="D343" s="16">
        <f>IF(A343="","",ROUND($B$15+$B$25*(A343-$B$17),9))</f>
        <v/>
      </c>
      <c r="E343" s="16">
        <f>IF(A343="","",ROUND(D343-$B$15,9))</f>
        <v/>
      </c>
    </row>
    <row r="344">
      <c r="A344" s="16">
        <f>IF(OR(A343="",A343&gt;=$B$18),"",MIN($B$18,(FLOOR(A343/$B$19+0.000000001,1)+1)*$B$19))</f>
        <v/>
      </c>
      <c r="B344" s="17">
        <f>IF(A344="","",IF(A344&lt;0,"-","")&amp;INT(ABS(A344)/1000)&amp;"+"&amp;TEXT(MOD(ABS(A344),1000),"000.000"))</f>
        <v/>
      </c>
      <c r="C344" s="16">
        <f>IF(A344="","",A344-$B$17)</f>
        <v/>
      </c>
      <c r="D344" s="16">
        <f>IF(A344="","",ROUND($B$15+$B$25*(A344-$B$17),9))</f>
        <v/>
      </c>
      <c r="E344" s="16">
        <f>IF(A344="","",ROUND(D344-$B$15,9))</f>
        <v/>
      </c>
    </row>
    <row r="345">
      <c r="A345" s="16">
        <f>IF(OR(A344="",A344&gt;=$B$18),"",MIN($B$18,(FLOOR(A344/$B$19+0.000000001,1)+1)*$B$19))</f>
        <v/>
      </c>
      <c r="B345" s="17">
        <f>IF(A345="","",IF(A345&lt;0,"-","")&amp;INT(ABS(A345)/1000)&amp;"+"&amp;TEXT(MOD(ABS(A345),1000),"000.000"))</f>
        <v/>
      </c>
      <c r="C345" s="16">
        <f>IF(A345="","",A345-$B$17)</f>
        <v/>
      </c>
      <c r="D345" s="16">
        <f>IF(A345="","",ROUND($B$15+$B$25*(A345-$B$17),9))</f>
        <v/>
      </c>
      <c r="E345" s="16">
        <f>IF(A345="","",ROUND(D345-$B$15,9))</f>
        <v/>
      </c>
    </row>
    <row r="346">
      <c r="A346" s="16">
        <f>IF(OR(A345="",A345&gt;=$B$18),"",MIN($B$18,(FLOOR(A345/$B$19+0.000000001,1)+1)*$B$19))</f>
        <v/>
      </c>
      <c r="B346" s="17">
        <f>IF(A346="","",IF(A346&lt;0,"-","")&amp;INT(ABS(A346)/1000)&amp;"+"&amp;TEXT(MOD(ABS(A346),1000),"000.000"))</f>
        <v/>
      </c>
      <c r="C346" s="16">
        <f>IF(A346="","",A346-$B$17)</f>
        <v/>
      </c>
      <c r="D346" s="16">
        <f>IF(A346="","",ROUND($B$15+$B$25*(A346-$B$17),9))</f>
        <v/>
      </c>
      <c r="E346" s="16">
        <f>IF(A346="","",ROUND(D346-$B$15,9))</f>
        <v/>
      </c>
    </row>
    <row r="347">
      <c r="A347" s="16">
        <f>IF(OR(A346="",A346&gt;=$B$18),"",MIN($B$18,(FLOOR(A346/$B$19+0.000000001,1)+1)*$B$19))</f>
        <v/>
      </c>
      <c r="B347" s="17">
        <f>IF(A347="","",IF(A347&lt;0,"-","")&amp;INT(ABS(A347)/1000)&amp;"+"&amp;TEXT(MOD(ABS(A347),1000),"000.000"))</f>
        <v/>
      </c>
      <c r="C347" s="16">
        <f>IF(A347="","",A347-$B$17)</f>
        <v/>
      </c>
      <c r="D347" s="16">
        <f>IF(A347="","",ROUND($B$15+$B$25*(A347-$B$17),9))</f>
        <v/>
      </c>
      <c r="E347" s="16">
        <f>IF(A347="","",ROUND(D347-$B$15,9))</f>
        <v/>
      </c>
    </row>
    <row r="348">
      <c r="A348" s="16">
        <f>IF(OR(A347="",A347&gt;=$B$18),"",MIN($B$18,(FLOOR(A347/$B$19+0.000000001,1)+1)*$B$19))</f>
        <v/>
      </c>
      <c r="B348" s="17">
        <f>IF(A348="","",IF(A348&lt;0,"-","")&amp;INT(ABS(A348)/1000)&amp;"+"&amp;TEXT(MOD(ABS(A348),1000),"000.000"))</f>
        <v/>
      </c>
      <c r="C348" s="16">
        <f>IF(A348="","",A348-$B$17)</f>
        <v/>
      </c>
      <c r="D348" s="16">
        <f>IF(A348="","",ROUND($B$15+$B$25*(A348-$B$17),9))</f>
        <v/>
      </c>
      <c r="E348" s="16">
        <f>IF(A348="","",ROUND(D348-$B$15,9))</f>
        <v/>
      </c>
    </row>
    <row r="349">
      <c r="A349" s="16">
        <f>IF(OR(A348="",A348&gt;=$B$18),"",MIN($B$18,(FLOOR(A348/$B$19+0.000000001,1)+1)*$B$19))</f>
        <v/>
      </c>
      <c r="B349" s="17">
        <f>IF(A349="","",IF(A349&lt;0,"-","")&amp;INT(ABS(A349)/1000)&amp;"+"&amp;TEXT(MOD(ABS(A349),1000),"000.000"))</f>
        <v/>
      </c>
      <c r="C349" s="16">
        <f>IF(A349="","",A349-$B$17)</f>
        <v/>
      </c>
      <c r="D349" s="16">
        <f>IF(A349="","",ROUND($B$15+$B$25*(A349-$B$17),9))</f>
        <v/>
      </c>
      <c r="E349" s="16">
        <f>IF(A349="","",ROUND(D349-$B$15,9))</f>
        <v/>
      </c>
    </row>
    <row r="350">
      <c r="A350" s="16">
        <f>IF(OR(A349="",A349&gt;=$B$18),"",MIN($B$18,(FLOOR(A349/$B$19+0.000000001,1)+1)*$B$19))</f>
        <v/>
      </c>
      <c r="B350" s="17">
        <f>IF(A350="","",IF(A350&lt;0,"-","")&amp;INT(ABS(A350)/1000)&amp;"+"&amp;TEXT(MOD(ABS(A350),1000),"000.000"))</f>
        <v/>
      </c>
      <c r="C350" s="16">
        <f>IF(A350="","",A350-$B$17)</f>
        <v/>
      </c>
      <c r="D350" s="16">
        <f>IF(A350="","",ROUND($B$15+$B$25*(A350-$B$17),9))</f>
        <v/>
      </c>
      <c r="E350" s="16">
        <f>IF(A350="","",ROUND(D350-$B$15,9))</f>
        <v/>
      </c>
    </row>
    <row r="351">
      <c r="A351" s="16">
        <f>IF(OR(A350="",A350&gt;=$B$18),"",MIN($B$18,(FLOOR(A350/$B$19+0.000000001,1)+1)*$B$19))</f>
        <v/>
      </c>
      <c r="B351" s="17">
        <f>IF(A351="","",IF(A351&lt;0,"-","")&amp;INT(ABS(A351)/1000)&amp;"+"&amp;TEXT(MOD(ABS(A351),1000),"000.000"))</f>
        <v/>
      </c>
      <c r="C351" s="16">
        <f>IF(A351="","",A351-$B$17)</f>
        <v/>
      </c>
      <c r="D351" s="16">
        <f>IF(A351="","",ROUND($B$15+$B$25*(A351-$B$17),9))</f>
        <v/>
      </c>
      <c r="E351" s="16">
        <f>IF(A351="","",ROUND(D351-$B$15,9))</f>
        <v/>
      </c>
    </row>
    <row r="352">
      <c r="A352" s="16">
        <f>IF(OR(A351="",A351&gt;=$B$18),"",MIN($B$18,(FLOOR(A351/$B$19+0.000000001,1)+1)*$B$19))</f>
        <v/>
      </c>
      <c r="B352" s="17">
        <f>IF(A352="","",IF(A352&lt;0,"-","")&amp;INT(ABS(A352)/1000)&amp;"+"&amp;TEXT(MOD(ABS(A352),1000),"000.000"))</f>
        <v/>
      </c>
      <c r="C352" s="16">
        <f>IF(A352="","",A352-$B$17)</f>
        <v/>
      </c>
      <c r="D352" s="16">
        <f>IF(A352="","",ROUND($B$15+$B$25*(A352-$B$17),9))</f>
        <v/>
      </c>
      <c r="E352" s="16">
        <f>IF(A352="","",ROUND(D352-$B$15,9))</f>
        <v/>
      </c>
    </row>
    <row r="353">
      <c r="A353" s="16">
        <f>IF(OR(A352="",A352&gt;=$B$18),"",MIN($B$18,(FLOOR(A352/$B$19+0.000000001,1)+1)*$B$19))</f>
        <v/>
      </c>
      <c r="B353" s="17">
        <f>IF(A353="","",IF(A353&lt;0,"-","")&amp;INT(ABS(A353)/1000)&amp;"+"&amp;TEXT(MOD(ABS(A353),1000),"000.000"))</f>
        <v/>
      </c>
      <c r="C353" s="16">
        <f>IF(A353="","",A353-$B$17)</f>
        <v/>
      </c>
      <c r="D353" s="16">
        <f>IF(A353="","",ROUND($B$15+$B$25*(A353-$B$17),9))</f>
        <v/>
      </c>
      <c r="E353" s="16">
        <f>IF(A353="","",ROUND(D353-$B$15,9))</f>
        <v/>
      </c>
    </row>
    <row r="354">
      <c r="A354" s="16">
        <f>IF(OR(A353="",A353&gt;=$B$18),"",MIN($B$18,(FLOOR(A353/$B$19+0.000000001,1)+1)*$B$19))</f>
        <v/>
      </c>
      <c r="B354" s="17">
        <f>IF(A354="","",IF(A354&lt;0,"-","")&amp;INT(ABS(A354)/1000)&amp;"+"&amp;TEXT(MOD(ABS(A354),1000),"000.000"))</f>
        <v/>
      </c>
      <c r="C354" s="16">
        <f>IF(A354="","",A354-$B$17)</f>
        <v/>
      </c>
      <c r="D354" s="16">
        <f>IF(A354="","",ROUND($B$15+$B$25*(A354-$B$17),9))</f>
        <v/>
      </c>
      <c r="E354" s="16">
        <f>IF(A354="","",ROUND(D354-$B$15,9))</f>
        <v/>
      </c>
    </row>
    <row r="355">
      <c r="A355" s="16">
        <f>IF(OR(A354="",A354&gt;=$B$18),"",MIN($B$18,(FLOOR(A354/$B$19+0.000000001,1)+1)*$B$19))</f>
        <v/>
      </c>
      <c r="B355" s="17">
        <f>IF(A355="","",IF(A355&lt;0,"-","")&amp;INT(ABS(A355)/1000)&amp;"+"&amp;TEXT(MOD(ABS(A355),1000),"000.000"))</f>
        <v/>
      </c>
      <c r="C355" s="16">
        <f>IF(A355="","",A355-$B$17)</f>
        <v/>
      </c>
      <c r="D355" s="16">
        <f>IF(A355="","",ROUND($B$15+$B$25*(A355-$B$17),9))</f>
        <v/>
      </c>
      <c r="E355" s="16">
        <f>IF(A355="","",ROUND(D355-$B$15,9))</f>
        <v/>
      </c>
    </row>
    <row r="356">
      <c r="A356" s="16">
        <f>IF(OR(A355="",A355&gt;=$B$18),"",MIN($B$18,(FLOOR(A355/$B$19+0.000000001,1)+1)*$B$19))</f>
        <v/>
      </c>
      <c r="B356" s="17">
        <f>IF(A356="","",IF(A356&lt;0,"-","")&amp;INT(ABS(A356)/1000)&amp;"+"&amp;TEXT(MOD(ABS(A356),1000),"000.000"))</f>
        <v/>
      </c>
      <c r="C356" s="16">
        <f>IF(A356="","",A356-$B$17)</f>
        <v/>
      </c>
      <c r="D356" s="16">
        <f>IF(A356="","",ROUND($B$15+$B$25*(A356-$B$17),9))</f>
        <v/>
      </c>
      <c r="E356" s="16">
        <f>IF(A356="","",ROUND(D356-$B$15,9))</f>
        <v/>
      </c>
    </row>
    <row r="357">
      <c r="A357" s="16">
        <f>IF(OR(A356="",A356&gt;=$B$18),"",MIN($B$18,(FLOOR(A356/$B$19+0.000000001,1)+1)*$B$19))</f>
        <v/>
      </c>
      <c r="B357" s="17">
        <f>IF(A357="","",IF(A357&lt;0,"-","")&amp;INT(ABS(A357)/1000)&amp;"+"&amp;TEXT(MOD(ABS(A357),1000),"000.000"))</f>
        <v/>
      </c>
      <c r="C357" s="16">
        <f>IF(A357="","",A357-$B$17)</f>
        <v/>
      </c>
      <c r="D357" s="16">
        <f>IF(A357="","",ROUND($B$15+$B$25*(A357-$B$17),9))</f>
        <v/>
      </c>
      <c r="E357" s="16">
        <f>IF(A357="","",ROUND(D357-$B$15,9))</f>
        <v/>
      </c>
    </row>
    <row r="358">
      <c r="A358" s="16">
        <f>IF(OR(A357="",A357&gt;=$B$18),"",MIN($B$18,(FLOOR(A357/$B$19+0.000000001,1)+1)*$B$19))</f>
        <v/>
      </c>
      <c r="B358" s="17">
        <f>IF(A358="","",IF(A358&lt;0,"-","")&amp;INT(ABS(A358)/1000)&amp;"+"&amp;TEXT(MOD(ABS(A358),1000),"000.000"))</f>
        <v/>
      </c>
      <c r="C358" s="16">
        <f>IF(A358="","",A358-$B$17)</f>
        <v/>
      </c>
      <c r="D358" s="16">
        <f>IF(A358="","",ROUND($B$15+$B$25*(A358-$B$17),9))</f>
        <v/>
      </c>
      <c r="E358" s="16">
        <f>IF(A358="","",ROUND(D358-$B$15,9))</f>
        <v/>
      </c>
    </row>
    <row r="359">
      <c r="A359" s="16">
        <f>IF(OR(A358="",A358&gt;=$B$18),"",MIN($B$18,(FLOOR(A358/$B$19+0.000000001,1)+1)*$B$19))</f>
        <v/>
      </c>
      <c r="B359" s="17">
        <f>IF(A359="","",IF(A359&lt;0,"-","")&amp;INT(ABS(A359)/1000)&amp;"+"&amp;TEXT(MOD(ABS(A359),1000),"000.000"))</f>
        <v/>
      </c>
      <c r="C359" s="16">
        <f>IF(A359="","",A359-$B$17)</f>
        <v/>
      </c>
      <c r="D359" s="16">
        <f>IF(A359="","",ROUND($B$15+$B$25*(A359-$B$17),9))</f>
        <v/>
      </c>
      <c r="E359" s="16">
        <f>IF(A359="","",ROUND(D359-$B$15,9))</f>
        <v/>
      </c>
    </row>
    <row r="360">
      <c r="A360" s="16">
        <f>IF(OR(A359="",A359&gt;=$B$18),"",MIN($B$18,(FLOOR(A359/$B$19+0.000000001,1)+1)*$B$19))</f>
        <v/>
      </c>
      <c r="B360" s="17">
        <f>IF(A360="","",IF(A360&lt;0,"-","")&amp;INT(ABS(A360)/1000)&amp;"+"&amp;TEXT(MOD(ABS(A360),1000),"000.000"))</f>
        <v/>
      </c>
      <c r="C360" s="16">
        <f>IF(A360="","",A360-$B$17)</f>
        <v/>
      </c>
      <c r="D360" s="16">
        <f>IF(A360="","",ROUND($B$15+$B$25*(A360-$B$17),9))</f>
        <v/>
      </c>
      <c r="E360" s="16">
        <f>IF(A360="","",ROUND(D360-$B$15,9))</f>
        <v/>
      </c>
    </row>
    <row r="361">
      <c r="A361" s="16">
        <f>IF(OR(A360="",A360&gt;=$B$18),"",MIN($B$18,(FLOOR(A360/$B$19+0.000000001,1)+1)*$B$19))</f>
        <v/>
      </c>
      <c r="B361" s="17">
        <f>IF(A361="","",IF(A361&lt;0,"-","")&amp;INT(ABS(A361)/1000)&amp;"+"&amp;TEXT(MOD(ABS(A361),1000),"000.000"))</f>
        <v/>
      </c>
      <c r="C361" s="16">
        <f>IF(A361="","",A361-$B$17)</f>
        <v/>
      </c>
      <c r="D361" s="16">
        <f>IF(A361="","",ROUND($B$15+$B$25*(A361-$B$17),9))</f>
        <v/>
      </c>
      <c r="E361" s="16">
        <f>IF(A361="","",ROUND(D361-$B$15,9))</f>
        <v/>
      </c>
    </row>
    <row r="362">
      <c r="A362" s="16">
        <f>IF(OR(A361="",A361&gt;=$B$18),"",MIN($B$18,(FLOOR(A361/$B$19+0.000000001,1)+1)*$B$19))</f>
        <v/>
      </c>
      <c r="B362" s="17">
        <f>IF(A362="","",IF(A362&lt;0,"-","")&amp;INT(ABS(A362)/1000)&amp;"+"&amp;TEXT(MOD(ABS(A362),1000),"000.000"))</f>
        <v/>
      </c>
      <c r="C362" s="16">
        <f>IF(A362="","",A362-$B$17)</f>
        <v/>
      </c>
      <c r="D362" s="16">
        <f>IF(A362="","",ROUND($B$15+$B$25*(A362-$B$17),9))</f>
        <v/>
      </c>
      <c r="E362" s="16">
        <f>IF(A362="","",ROUND(D362-$B$15,9))</f>
        <v/>
      </c>
    </row>
    <row r="363">
      <c r="A363" s="16">
        <f>IF(OR(A362="",A362&gt;=$B$18),"",MIN($B$18,(FLOOR(A362/$B$19+0.000000001,1)+1)*$B$19))</f>
        <v/>
      </c>
      <c r="B363" s="17">
        <f>IF(A363="","",IF(A363&lt;0,"-","")&amp;INT(ABS(A363)/1000)&amp;"+"&amp;TEXT(MOD(ABS(A363),1000),"000.000"))</f>
        <v/>
      </c>
      <c r="C363" s="16">
        <f>IF(A363="","",A363-$B$17)</f>
        <v/>
      </c>
      <c r="D363" s="16">
        <f>IF(A363="","",ROUND($B$15+$B$25*(A363-$B$17),9))</f>
        <v/>
      </c>
      <c r="E363" s="16">
        <f>IF(A363="","",ROUND(D363-$B$15,9))</f>
        <v/>
      </c>
    </row>
    <row r="364">
      <c r="A364" s="16">
        <f>IF(OR(A363="",A363&gt;=$B$18),"",MIN($B$18,(FLOOR(A363/$B$19+0.000000001,1)+1)*$B$19))</f>
        <v/>
      </c>
      <c r="B364" s="17">
        <f>IF(A364="","",IF(A364&lt;0,"-","")&amp;INT(ABS(A364)/1000)&amp;"+"&amp;TEXT(MOD(ABS(A364),1000),"000.000"))</f>
        <v/>
      </c>
      <c r="C364" s="16">
        <f>IF(A364="","",A364-$B$17)</f>
        <v/>
      </c>
      <c r="D364" s="16">
        <f>IF(A364="","",ROUND($B$15+$B$25*(A364-$B$17),9))</f>
        <v/>
      </c>
      <c r="E364" s="16">
        <f>IF(A364="","",ROUND(D364-$B$15,9))</f>
        <v/>
      </c>
    </row>
    <row r="365">
      <c r="A365" s="16">
        <f>IF(OR(A364="",A364&gt;=$B$18),"",MIN($B$18,(FLOOR(A364/$B$19+0.000000001,1)+1)*$B$19))</f>
        <v/>
      </c>
      <c r="B365" s="17">
        <f>IF(A365="","",IF(A365&lt;0,"-","")&amp;INT(ABS(A365)/1000)&amp;"+"&amp;TEXT(MOD(ABS(A365),1000),"000.000"))</f>
        <v/>
      </c>
      <c r="C365" s="16">
        <f>IF(A365="","",A365-$B$17)</f>
        <v/>
      </c>
      <c r="D365" s="16">
        <f>IF(A365="","",ROUND($B$15+$B$25*(A365-$B$17),9))</f>
        <v/>
      </c>
      <c r="E365" s="16">
        <f>IF(A365="","",ROUND(D365-$B$15,9))</f>
        <v/>
      </c>
    </row>
    <row r="366">
      <c r="A366" s="16">
        <f>IF(OR(A365="",A365&gt;=$B$18),"",MIN($B$18,(FLOOR(A365/$B$19+0.000000001,1)+1)*$B$19))</f>
        <v/>
      </c>
      <c r="B366" s="17">
        <f>IF(A366="","",IF(A366&lt;0,"-","")&amp;INT(ABS(A366)/1000)&amp;"+"&amp;TEXT(MOD(ABS(A366),1000),"000.000"))</f>
        <v/>
      </c>
      <c r="C366" s="16">
        <f>IF(A366="","",A366-$B$17)</f>
        <v/>
      </c>
      <c r="D366" s="16">
        <f>IF(A366="","",ROUND($B$15+$B$25*(A366-$B$17),9))</f>
        <v/>
      </c>
      <c r="E366" s="16">
        <f>IF(A366="","",ROUND(D366-$B$15,9))</f>
        <v/>
      </c>
    </row>
    <row r="367">
      <c r="A367" s="16">
        <f>IF(OR(A366="",A366&gt;=$B$18),"",MIN($B$18,(FLOOR(A366/$B$19+0.000000001,1)+1)*$B$19))</f>
        <v/>
      </c>
      <c r="B367" s="17">
        <f>IF(A367="","",IF(A367&lt;0,"-","")&amp;INT(ABS(A367)/1000)&amp;"+"&amp;TEXT(MOD(ABS(A367),1000),"000.000"))</f>
        <v/>
      </c>
      <c r="C367" s="16">
        <f>IF(A367="","",A367-$B$17)</f>
        <v/>
      </c>
      <c r="D367" s="16">
        <f>IF(A367="","",ROUND($B$15+$B$25*(A367-$B$17),9))</f>
        <v/>
      </c>
      <c r="E367" s="16">
        <f>IF(A367="","",ROUND(D367-$B$15,9))</f>
        <v/>
      </c>
    </row>
    <row r="368">
      <c r="A368" s="16">
        <f>IF(OR(A367="",A367&gt;=$B$18),"",MIN($B$18,(FLOOR(A367/$B$19+0.000000001,1)+1)*$B$19))</f>
        <v/>
      </c>
      <c r="B368" s="17">
        <f>IF(A368="","",IF(A368&lt;0,"-","")&amp;INT(ABS(A368)/1000)&amp;"+"&amp;TEXT(MOD(ABS(A368),1000),"000.000"))</f>
        <v/>
      </c>
      <c r="C368" s="16">
        <f>IF(A368="","",A368-$B$17)</f>
        <v/>
      </c>
      <c r="D368" s="16">
        <f>IF(A368="","",ROUND($B$15+$B$25*(A368-$B$17),9))</f>
        <v/>
      </c>
      <c r="E368" s="16">
        <f>IF(A368="","",ROUND(D368-$B$15,9))</f>
        <v/>
      </c>
    </row>
    <row r="369">
      <c r="A369" s="16">
        <f>IF(OR(A368="",A368&gt;=$B$18),"",MIN($B$18,(FLOOR(A368/$B$19+0.000000001,1)+1)*$B$19))</f>
        <v/>
      </c>
      <c r="B369" s="17">
        <f>IF(A369="","",IF(A369&lt;0,"-","")&amp;INT(ABS(A369)/1000)&amp;"+"&amp;TEXT(MOD(ABS(A369),1000),"000.000"))</f>
        <v/>
      </c>
      <c r="C369" s="16">
        <f>IF(A369="","",A369-$B$17)</f>
        <v/>
      </c>
      <c r="D369" s="16">
        <f>IF(A369="","",ROUND($B$15+$B$25*(A369-$B$17),9))</f>
        <v/>
      </c>
      <c r="E369" s="16">
        <f>IF(A369="","",ROUND(D369-$B$15,9))</f>
        <v/>
      </c>
    </row>
    <row r="370">
      <c r="A370" s="16">
        <f>IF(OR(A369="",A369&gt;=$B$18),"",MIN($B$18,(FLOOR(A369/$B$19+0.000000001,1)+1)*$B$19))</f>
        <v/>
      </c>
      <c r="B370" s="17">
        <f>IF(A370="","",IF(A370&lt;0,"-","")&amp;INT(ABS(A370)/1000)&amp;"+"&amp;TEXT(MOD(ABS(A370),1000),"000.000"))</f>
        <v/>
      </c>
      <c r="C370" s="16">
        <f>IF(A370="","",A370-$B$17)</f>
        <v/>
      </c>
      <c r="D370" s="16">
        <f>IF(A370="","",ROUND($B$15+$B$25*(A370-$B$17),9))</f>
        <v/>
      </c>
      <c r="E370" s="16">
        <f>IF(A370="","",ROUND(D370-$B$15,9))</f>
        <v/>
      </c>
    </row>
    <row r="371">
      <c r="A371" s="16">
        <f>IF(OR(A370="",A370&gt;=$B$18),"",MIN($B$18,(FLOOR(A370/$B$19+0.000000001,1)+1)*$B$19))</f>
        <v/>
      </c>
      <c r="B371" s="17">
        <f>IF(A371="","",IF(A371&lt;0,"-","")&amp;INT(ABS(A371)/1000)&amp;"+"&amp;TEXT(MOD(ABS(A371),1000),"000.000"))</f>
        <v/>
      </c>
      <c r="C371" s="16">
        <f>IF(A371="","",A371-$B$17)</f>
        <v/>
      </c>
      <c r="D371" s="16">
        <f>IF(A371="","",ROUND($B$15+$B$25*(A371-$B$17),9))</f>
        <v/>
      </c>
      <c r="E371" s="16">
        <f>IF(A371="","",ROUND(D371-$B$15,9))</f>
        <v/>
      </c>
    </row>
    <row r="372">
      <c r="A372" s="16">
        <f>IF(OR(A371="",A371&gt;=$B$18),"",MIN($B$18,(FLOOR(A371/$B$19+0.000000001,1)+1)*$B$19))</f>
        <v/>
      </c>
      <c r="B372" s="17">
        <f>IF(A372="","",IF(A372&lt;0,"-","")&amp;INT(ABS(A372)/1000)&amp;"+"&amp;TEXT(MOD(ABS(A372),1000),"000.000"))</f>
        <v/>
      </c>
      <c r="C372" s="16">
        <f>IF(A372="","",A372-$B$17)</f>
        <v/>
      </c>
      <c r="D372" s="16">
        <f>IF(A372="","",ROUND($B$15+$B$25*(A372-$B$17),9))</f>
        <v/>
      </c>
      <c r="E372" s="16">
        <f>IF(A372="","",ROUND(D372-$B$15,9))</f>
        <v/>
      </c>
    </row>
    <row r="373">
      <c r="A373" s="16">
        <f>IF(OR(A372="",A372&gt;=$B$18),"",MIN($B$18,(FLOOR(A372/$B$19+0.000000001,1)+1)*$B$19))</f>
        <v/>
      </c>
      <c r="B373" s="17">
        <f>IF(A373="","",IF(A373&lt;0,"-","")&amp;INT(ABS(A373)/1000)&amp;"+"&amp;TEXT(MOD(ABS(A373),1000),"000.000"))</f>
        <v/>
      </c>
      <c r="C373" s="16">
        <f>IF(A373="","",A373-$B$17)</f>
        <v/>
      </c>
      <c r="D373" s="16">
        <f>IF(A373="","",ROUND($B$15+$B$25*(A373-$B$17),9))</f>
        <v/>
      </c>
      <c r="E373" s="16">
        <f>IF(A373="","",ROUND(D373-$B$15,9))</f>
        <v/>
      </c>
    </row>
    <row r="374">
      <c r="A374" s="16">
        <f>IF(OR(A373="",A373&gt;=$B$18),"",MIN($B$18,(FLOOR(A373/$B$19+0.000000001,1)+1)*$B$19))</f>
        <v/>
      </c>
      <c r="B374" s="17">
        <f>IF(A374="","",IF(A374&lt;0,"-","")&amp;INT(ABS(A374)/1000)&amp;"+"&amp;TEXT(MOD(ABS(A374),1000),"000.000"))</f>
        <v/>
      </c>
      <c r="C374" s="16">
        <f>IF(A374="","",A374-$B$17)</f>
        <v/>
      </c>
      <c r="D374" s="16">
        <f>IF(A374="","",ROUND($B$15+$B$25*(A374-$B$17),9))</f>
        <v/>
      </c>
      <c r="E374" s="16">
        <f>IF(A374="","",ROUND(D374-$B$15,9))</f>
        <v/>
      </c>
    </row>
    <row r="375">
      <c r="A375" s="16">
        <f>IF(OR(A374="",A374&gt;=$B$18),"",MIN($B$18,(FLOOR(A374/$B$19+0.000000001,1)+1)*$B$19))</f>
        <v/>
      </c>
      <c r="B375" s="17">
        <f>IF(A375="","",IF(A375&lt;0,"-","")&amp;INT(ABS(A375)/1000)&amp;"+"&amp;TEXT(MOD(ABS(A375),1000),"000.000"))</f>
        <v/>
      </c>
      <c r="C375" s="16">
        <f>IF(A375="","",A375-$B$17)</f>
        <v/>
      </c>
      <c r="D375" s="16">
        <f>IF(A375="","",ROUND($B$15+$B$25*(A375-$B$17),9))</f>
        <v/>
      </c>
      <c r="E375" s="16">
        <f>IF(A375="","",ROUND(D375-$B$15,9))</f>
        <v/>
      </c>
    </row>
    <row r="376">
      <c r="A376" s="16">
        <f>IF(OR(A375="",A375&gt;=$B$18),"",MIN($B$18,(FLOOR(A375/$B$19+0.000000001,1)+1)*$B$19))</f>
        <v/>
      </c>
      <c r="B376" s="17">
        <f>IF(A376="","",IF(A376&lt;0,"-","")&amp;INT(ABS(A376)/1000)&amp;"+"&amp;TEXT(MOD(ABS(A376),1000),"000.000"))</f>
        <v/>
      </c>
      <c r="C376" s="16">
        <f>IF(A376="","",A376-$B$17)</f>
        <v/>
      </c>
      <c r="D376" s="16">
        <f>IF(A376="","",ROUND($B$15+$B$25*(A376-$B$17),9))</f>
        <v/>
      </c>
      <c r="E376" s="16">
        <f>IF(A376="","",ROUND(D376-$B$15,9))</f>
        <v/>
      </c>
    </row>
    <row r="377">
      <c r="A377" s="16">
        <f>IF(OR(A376="",A376&gt;=$B$18),"",MIN($B$18,(FLOOR(A376/$B$19+0.000000001,1)+1)*$B$19))</f>
        <v/>
      </c>
      <c r="B377" s="17">
        <f>IF(A377="","",IF(A377&lt;0,"-","")&amp;INT(ABS(A377)/1000)&amp;"+"&amp;TEXT(MOD(ABS(A377),1000),"000.000"))</f>
        <v/>
      </c>
      <c r="C377" s="16">
        <f>IF(A377="","",A377-$B$17)</f>
        <v/>
      </c>
      <c r="D377" s="16">
        <f>IF(A377="","",ROUND($B$15+$B$25*(A377-$B$17),9))</f>
        <v/>
      </c>
      <c r="E377" s="16">
        <f>IF(A377="","",ROUND(D377-$B$15,9))</f>
        <v/>
      </c>
    </row>
    <row r="378">
      <c r="A378" s="16">
        <f>IF(OR(A377="",A377&gt;=$B$18),"",MIN($B$18,(FLOOR(A377/$B$19+0.000000001,1)+1)*$B$19))</f>
        <v/>
      </c>
      <c r="B378" s="17">
        <f>IF(A378="","",IF(A378&lt;0,"-","")&amp;INT(ABS(A378)/1000)&amp;"+"&amp;TEXT(MOD(ABS(A378),1000),"000.000"))</f>
        <v/>
      </c>
      <c r="C378" s="16">
        <f>IF(A378="","",A378-$B$17)</f>
        <v/>
      </c>
      <c r="D378" s="16">
        <f>IF(A378="","",ROUND($B$15+$B$25*(A378-$B$17),9))</f>
        <v/>
      </c>
      <c r="E378" s="16">
        <f>IF(A378="","",ROUND(D378-$B$15,9))</f>
        <v/>
      </c>
    </row>
    <row r="379">
      <c r="A379" s="16">
        <f>IF(OR(A378="",A378&gt;=$B$18),"",MIN($B$18,(FLOOR(A378/$B$19+0.000000001,1)+1)*$B$19))</f>
        <v/>
      </c>
      <c r="B379" s="17">
        <f>IF(A379="","",IF(A379&lt;0,"-","")&amp;INT(ABS(A379)/1000)&amp;"+"&amp;TEXT(MOD(ABS(A379),1000),"000.000"))</f>
        <v/>
      </c>
      <c r="C379" s="16">
        <f>IF(A379="","",A379-$B$17)</f>
        <v/>
      </c>
      <c r="D379" s="16">
        <f>IF(A379="","",ROUND($B$15+$B$25*(A379-$B$17),9))</f>
        <v/>
      </c>
      <c r="E379" s="16">
        <f>IF(A379="","",ROUND(D379-$B$15,9))</f>
        <v/>
      </c>
    </row>
    <row r="380">
      <c r="A380" s="16">
        <f>IF(OR(A379="",A379&gt;=$B$18),"",MIN($B$18,(FLOOR(A379/$B$19+0.000000001,1)+1)*$B$19))</f>
        <v/>
      </c>
      <c r="B380" s="17">
        <f>IF(A380="","",IF(A380&lt;0,"-","")&amp;INT(ABS(A380)/1000)&amp;"+"&amp;TEXT(MOD(ABS(A380),1000),"000.000"))</f>
        <v/>
      </c>
      <c r="C380" s="16">
        <f>IF(A380="","",A380-$B$17)</f>
        <v/>
      </c>
      <c r="D380" s="16">
        <f>IF(A380="","",ROUND($B$15+$B$25*(A380-$B$17),9))</f>
        <v/>
      </c>
      <c r="E380" s="16">
        <f>IF(A380="","",ROUND(D380-$B$15,9))</f>
        <v/>
      </c>
    </row>
    <row r="381">
      <c r="A381" s="16">
        <f>IF(OR(A380="",A380&gt;=$B$18),"",MIN($B$18,(FLOOR(A380/$B$19+0.000000001,1)+1)*$B$19))</f>
        <v/>
      </c>
      <c r="B381" s="17">
        <f>IF(A381="","",IF(A381&lt;0,"-","")&amp;INT(ABS(A381)/1000)&amp;"+"&amp;TEXT(MOD(ABS(A381),1000),"000.000"))</f>
        <v/>
      </c>
      <c r="C381" s="16">
        <f>IF(A381="","",A381-$B$17)</f>
        <v/>
      </c>
      <c r="D381" s="16">
        <f>IF(A381="","",ROUND($B$15+$B$25*(A381-$B$17),9))</f>
        <v/>
      </c>
      <c r="E381" s="16">
        <f>IF(A381="","",ROUND(D381-$B$15,9))</f>
        <v/>
      </c>
    </row>
    <row r="382">
      <c r="A382" s="16">
        <f>IF(OR(A381="",A381&gt;=$B$18),"",MIN($B$18,(FLOOR(A381/$B$19+0.000000001,1)+1)*$B$19))</f>
        <v/>
      </c>
      <c r="B382" s="17">
        <f>IF(A382="","",IF(A382&lt;0,"-","")&amp;INT(ABS(A382)/1000)&amp;"+"&amp;TEXT(MOD(ABS(A382),1000),"000.000"))</f>
        <v/>
      </c>
      <c r="C382" s="16">
        <f>IF(A382="","",A382-$B$17)</f>
        <v/>
      </c>
      <c r="D382" s="16">
        <f>IF(A382="","",ROUND($B$15+$B$25*(A382-$B$17),9))</f>
        <v/>
      </c>
      <c r="E382" s="16">
        <f>IF(A382="","",ROUND(D382-$B$15,9))</f>
        <v/>
      </c>
    </row>
    <row r="383">
      <c r="A383" s="16">
        <f>IF(OR(A382="",A382&gt;=$B$18),"",MIN($B$18,(FLOOR(A382/$B$19+0.000000001,1)+1)*$B$19))</f>
        <v/>
      </c>
      <c r="B383" s="17">
        <f>IF(A383="","",IF(A383&lt;0,"-","")&amp;INT(ABS(A383)/1000)&amp;"+"&amp;TEXT(MOD(ABS(A383),1000),"000.000"))</f>
        <v/>
      </c>
      <c r="C383" s="16">
        <f>IF(A383="","",A383-$B$17)</f>
        <v/>
      </c>
      <c r="D383" s="16">
        <f>IF(A383="","",ROUND($B$15+$B$25*(A383-$B$17),9))</f>
        <v/>
      </c>
      <c r="E383" s="16">
        <f>IF(A383="","",ROUND(D383-$B$15,9))</f>
        <v/>
      </c>
    </row>
    <row r="384">
      <c r="A384" s="16">
        <f>IF(OR(A383="",A383&gt;=$B$18),"",MIN($B$18,(FLOOR(A383/$B$19+0.000000001,1)+1)*$B$19))</f>
        <v/>
      </c>
      <c r="B384" s="17">
        <f>IF(A384="","",IF(A384&lt;0,"-","")&amp;INT(ABS(A384)/1000)&amp;"+"&amp;TEXT(MOD(ABS(A384),1000),"000.000"))</f>
        <v/>
      </c>
      <c r="C384" s="16">
        <f>IF(A384="","",A384-$B$17)</f>
        <v/>
      </c>
      <c r="D384" s="16">
        <f>IF(A384="","",ROUND($B$15+$B$25*(A384-$B$17),9))</f>
        <v/>
      </c>
      <c r="E384" s="16">
        <f>IF(A384="","",ROUND(D384-$B$15,9))</f>
        <v/>
      </c>
    </row>
    <row r="385">
      <c r="A385" s="16">
        <f>IF(OR(A384="",A384&gt;=$B$18),"",MIN($B$18,(FLOOR(A384/$B$19+0.000000001,1)+1)*$B$19))</f>
        <v/>
      </c>
      <c r="B385" s="17">
        <f>IF(A385="","",IF(A385&lt;0,"-","")&amp;INT(ABS(A385)/1000)&amp;"+"&amp;TEXT(MOD(ABS(A385),1000),"000.000"))</f>
        <v/>
      </c>
      <c r="C385" s="16">
        <f>IF(A385="","",A385-$B$17)</f>
        <v/>
      </c>
      <c r="D385" s="16">
        <f>IF(A385="","",ROUND($B$15+$B$25*(A385-$B$17),9))</f>
        <v/>
      </c>
      <c r="E385" s="16">
        <f>IF(A385="","",ROUND(D385-$B$15,9))</f>
        <v/>
      </c>
    </row>
    <row r="386">
      <c r="A386" s="16">
        <f>IF(OR(A385="",A385&gt;=$B$18),"",MIN($B$18,(FLOOR(A385/$B$19+0.000000001,1)+1)*$B$19))</f>
        <v/>
      </c>
      <c r="B386" s="17">
        <f>IF(A386="","",IF(A386&lt;0,"-","")&amp;INT(ABS(A386)/1000)&amp;"+"&amp;TEXT(MOD(ABS(A386),1000),"000.000"))</f>
        <v/>
      </c>
      <c r="C386" s="16">
        <f>IF(A386="","",A386-$B$17)</f>
        <v/>
      </c>
      <c r="D386" s="16">
        <f>IF(A386="","",ROUND($B$15+$B$25*(A386-$B$17),9))</f>
        <v/>
      </c>
      <c r="E386" s="16">
        <f>IF(A386="","",ROUND(D386-$B$15,9))</f>
        <v/>
      </c>
    </row>
    <row r="387">
      <c r="A387" s="16">
        <f>IF(OR(A386="",A386&gt;=$B$18),"",MIN($B$18,(FLOOR(A386/$B$19+0.000000001,1)+1)*$B$19))</f>
        <v/>
      </c>
      <c r="B387" s="17">
        <f>IF(A387="","",IF(A387&lt;0,"-","")&amp;INT(ABS(A387)/1000)&amp;"+"&amp;TEXT(MOD(ABS(A387),1000),"000.000"))</f>
        <v/>
      </c>
      <c r="C387" s="16">
        <f>IF(A387="","",A387-$B$17)</f>
        <v/>
      </c>
      <c r="D387" s="16">
        <f>IF(A387="","",ROUND($B$15+$B$25*(A387-$B$17),9))</f>
        <v/>
      </c>
      <c r="E387" s="16">
        <f>IF(A387="","",ROUND(D387-$B$15,9))</f>
        <v/>
      </c>
    </row>
    <row r="388">
      <c r="A388" s="16">
        <f>IF(OR(A387="",A387&gt;=$B$18),"",MIN($B$18,(FLOOR(A387/$B$19+0.000000001,1)+1)*$B$19))</f>
        <v/>
      </c>
      <c r="B388" s="17">
        <f>IF(A388="","",IF(A388&lt;0,"-","")&amp;INT(ABS(A388)/1000)&amp;"+"&amp;TEXT(MOD(ABS(A388),1000),"000.000"))</f>
        <v/>
      </c>
      <c r="C388" s="16">
        <f>IF(A388="","",A388-$B$17)</f>
        <v/>
      </c>
      <c r="D388" s="16">
        <f>IF(A388="","",ROUND($B$15+$B$25*(A388-$B$17),9))</f>
        <v/>
      </c>
      <c r="E388" s="16">
        <f>IF(A388="","",ROUND(D388-$B$15,9))</f>
        <v/>
      </c>
    </row>
    <row r="389">
      <c r="A389" s="16">
        <f>IF(OR(A388="",A388&gt;=$B$18),"",MIN($B$18,(FLOOR(A388/$B$19+0.000000001,1)+1)*$B$19))</f>
        <v/>
      </c>
      <c r="B389" s="17">
        <f>IF(A389="","",IF(A389&lt;0,"-","")&amp;INT(ABS(A389)/1000)&amp;"+"&amp;TEXT(MOD(ABS(A389),1000),"000.000"))</f>
        <v/>
      </c>
      <c r="C389" s="16">
        <f>IF(A389="","",A389-$B$17)</f>
        <v/>
      </c>
      <c r="D389" s="16">
        <f>IF(A389="","",ROUND($B$15+$B$25*(A389-$B$17),9))</f>
        <v/>
      </c>
      <c r="E389" s="16">
        <f>IF(A389="","",ROUND(D389-$B$15,9))</f>
        <v/>
      </c>
    </row>
    <row r="390">
      <c r="A390" s="16">
        <f>IF(OR(A389="",A389&gt;=$B$18),"",MIN($B$18,(FLOOR(A389/$B$19+0.000000001,1)+1)*$B$19))</f>
        <v/>
      </c>
      <c r="B390" s="17">
        <f>IF(A390="","",IF(A390&lt;0,"-","")&amp;INT(ABS(A390)/1000)&amp;"+"&amp;TEXT(MOD(ABS(A390),1000),"000.000"))</f>
        <v/>
      </c>
      <c r="C390" s="16">
        <f>IF(A390="","",A390-$B$17)</f>
        <v/>
      </c>
      <c r="D390" s="16">
        <f>IF(A390="","",ROUND($B$15+$B$25*(A390-$B$17),9))</f>
        <v/>
      </c>
      <c r="E390" s="16">
        <f>IF(A390="","",ROUND(D390-$B$15,9))</f>
        <v/>
      </c>
    </row>
    <row r="391">
      <c r="A391" s="16">
        <f>IF(OR(A390="",A390&gt;=$B$18),"",MIN($B$18,(FLOOR(A390/$B$19+0.000000001,1)+1)*$B$19))</f>
        <v/>
      </c>
      <c r="B391" s="17">
        <f>IF(A391="","",IF(A391&lt;0,"-","")&amp;INT(ABS(A391)/1000)&amp;"+"&amp;TEXT(MOD(ABS(A391),1000),"000.000"))</f>
        <v/>
      </c>
      <c r="C391" s="16">
        <f>IF(A391="","",A391-$B$17)</f>
        <v/>
      </c>
      <c r="D391" s="16">
        <f>IF(A391="","",ROUND($B$15+$B$25*(A391-$B$17),9))</f>
        <v/>
      </c>
      <c r="E391" s="16">
        <f>IF(A391="","",ROUND(D391-$B$15,9))</f>
        <v/>
      </c>
    </row>
    <row r="392">
      <c r="A392" s="16">
        <f>IF(OR(A391="",A391&gt;=$B$18),"",MIN($B$18,(FLOOR(A391/$B$19+0.000000001,1)+1)*$B$19))</f>
        <v/>
      </c>
      <c r="B392" s="17">
        <f>IF(A392="","",IF(A392&lt;0,"-","")&amp;INT(ABS(A392)/1000)&amp;"+"&amp;TEXT(MOD(ABS(A392),1000),"000.000"))</f>
        <v/>
      </c>
      <c r="C392" s="16">
        <f>IF(A392="","",A392-$B$17)</f>
        <v/>
      </c>
      <c r="D392" s="16">
        <f>IF(A392="","",ROUND($B$15+$B$25*(A392-$B$17),9))</f>
        <v/>
      </c>
      <c r="E392" s="16">
        <f>IF(A392="","",ROUND(D392-$B$15,9))</f>
        <v/>
      </c>
    </row>
    <row r="393">
      <c r="A393" s="16">
        <f>IF(OR(A392="",A392&gt;=$B$18),"",MIN($B$18,(FLOOR(A392/$B$19+0.000000001,1)+1)*$B$19))</f>
        <v/>
      </c>
      <c r="B393" s="17">
        <f>IF(A393="","",IF(A393&lt;0,"-","")&amp;INT(ABS(A393)/1000)&amp;"+"&amp;TEXT(MOD(ABS(A393),1000),"000.000"))</f>
        <v/>
      </c>
      <c r="C393" s="16">
        <f>IF(A393="","",A393-$B$17)</f>
        <v/>
      </c>
      <c r="D393" s="16">
        <f>IF(A393="","",ROUND($B$15+$B$25*(A393-$B$17),9))</f>
        <v/>
      </c>
      <c r="E393" s="16">
        <f>IF(A393="","",ROUND(D393-$B$15,9))</f>
        <v/>
      </c>
    </row>
    <row r="394">
      <c r="A394" s="16">
        <f>IF(OR(A393="",A393&gt;=$B$18),"",MIN($B$18,(FLOOR(A393/$B$19+0.000000001,1)+1)*$B$19))</f>
        <v/>
      </c>
      <c r="B394" s="17">
        <f>IF(A394="","",IF(A394&lt;0,"-","")&amp;INT(ABS(A394)/1000)&amp;"+"&amp;TEXT(MOD(ABS(A394),1000),"000.000"))</f>
        <v/>
      </c>
      <c r="C394" s="16">
        <f>IF(A394="","",A394-$B$17)</f>
        <v/>
      </c>
      <c r="D394" s="16">
        <f>IF(A394="","",ROUND($B$15+$B$25*(A394-$B$17),9))</f>
        <v/>
      </c>
      <c r="E394" s="16">
        <f>IF(A394="","",ROUND(D394-$B$15,9))</f>
        <v/>
      </c>
    </row>
    <row r="395">
      <c r="A395" s="16">
        <f>IF(OR(A394="",A394&gt;=$B$18),"",MIN($B$18,(FLOOR(A394/$B$19+0.000000001,1)+1)*$B$19))</f>
        <v/>
      </c>
      <c r="B395" s="17">
        <f>IF(A395="","",IF(A395&lt;0,"-","")&amp;INT(ABS(A395)/1000)&amp;"+"&amp;TEXT(MOD(ABS(A395),1000),"000.000"))</f>
        <v/>
      </c>
      <c r="C395" s="16">
        <f>IF(A395="","",A395-$B$17)</f>
        <v/>
      </c>
      <c r="D395" s="16">
        <f>IF(A395="","",ROUND($B$15+$B$25*(A395-$B$17),9))</f>
        <v/>
      </c>
      <c r="E395" s="16">
        <f>IF(A395="","",ROUND(D395-$B$15,9))</f>
        <v/>
      </c>
    </row>
    <row r="396">
      <c r="A396" s="16">
        <f>IF(OR(A395="",A395&gt;=$B$18),"",MIN($B$18,(FLOOR(A395/$B$19+0.000000001,1)+1)*$B$19))</f>
        <v/>
      </c>
      <c r="B396" s="17">
        <f>IF(A396="","",IF(A396&lt;0,"-","")&amp;INT(ABS(A396)/1000)&amp;"+"&amp;TEXT(MOD(ABS(A396),1000),"000.000"))</f>
        <v/>
      </c>
      <c r="C396" s="16">
        <f>IF(A396="","",A396-$B$17)</f>
        <v/>
      </c>
      <c r="D396" s="16">
        <f>IF(A396="","",ROUND($B$15+$B$25*(A396-$B$17),9))</f>
        <v/>
      </c>
      <c r="E396" s="16">
        <f>IF(A396="","",ROUND(D396-$B$15,9))</f>
        <v/>
      </c>
    </row>
    <row r="397">
      <c r="A397" s="16">
        <f>IF(OR(A396="",A396&gt;=$B$18),"",MIN($B$18,(FLOOR(A396/$B$19+0.000000001,1)+1)*$B$19))</f>
        <v/>
      </c>
      <c r="B397" s="17">
        <f>IF(A397="","",IF(A397&lt;0,"-","")&amp;INT(ABS(A397)/1000)&amp;"+"&amp;TEXT(MOD(ABS(A397),1000),"000.000"))</f>
        <v/>
      </c>
      <c r="C397" s="16">
        <f>IF(A397="","",A397-$B$17)</f>
        <v/>
      </c>
      <c r="D397" s="16">
        <f>IF(A397="","",ROUND($B$15+$B$25*(A397-$B$17),9))</f>
        <v/>
      </c>
      <c r="E397" s="16">
        <f>IF(A397="","",ROUND(D397-$B$15,9))</f>
        <v/>
      </c>
    </row>
    <row r="398">
      <c r="A398" s="16">
        <f>IF(OR(A397="",A397&gt;=$B$18),"",MIN($B$18,(FLOOR(A397/$B$19+0.000000001,1)+1)*$B$19))</f>
        <v/>
      </c>
      <c r="B398" s="17">
        <f>IF(A398="","",IF(A398&lt;0,"-","")&amp;INT(ABS(A398)/1000)&amp;"+"&amp;TEXT(MOD(ABS(A398),1000),"000.000"))</f>
        <v/>
      </c>
      <c r="C398" s="16">
        <f>IF(A398="","",A398-$B$17)</f>
        <v/>
      </c>
      <c r="D398" s="16">
        <f>IF(A398="","",ROUND($B$15+$B$25*(A398-$B$17),9))</f>
        <v/>
      </c>
      <c r="E398" s="16">
        <f>IF(A398="","",ROUND(D398-$B$15,9))</f>
        <v/>
      </c>
    </row>
    <row r="399">
      <c r="A399" s="16">
        <f>IF(OR(A398="",A398&gt;=$B$18),"",MIN($B$18,(FLOOR(A398/$B$19+0.000000001,1)+1)*$B$19))</f>
        <v/>
      </c>
      <c r="B399" s="17">
        <f>IF(A399="","",IF(A399&lt;0,"-","")&amp;INT(ABS(A399)/1000)&amp;"+"&amp;TEXT(MOD(ABS(A399),1000),"000.000"))</f>
        <v/>
      </c>
      <c r="C399" s="16">
        <f>IF(A399="","",A399-$B$17)</f>
        <v/>
      </c>
      <c r="D399" s="16">
        <f>IF(A399="","",ROUND($B$15+$B$25*(A399-$B$17),9))</f>
        <v/>
      </c>
      <c r="E399" s="16">
        <f>IF(A399="","",ROUND(D399-$B$15,9))</f>
        <v/>
      </c>
    </row>
    <row r="400">
      <c r="A400" s="16">
        <f>IF(OR(A399="",A399&gt;=$B$18),"",MIN($B$18,(FLOOR(A399/$B$19+0.000000001,1)+1)*$B$19))</f>
        <v/>
      </c>
      <c r="B400" s="17">
        <f>IF(A400="","",IF(A400&lt;0,"-","")&amp;INT(ABS(A400)/1000)&amp;"+"&amp;TEXT(MOD(ABS(A400),1000),"000.000"))</f>
        <v/>
      </c>
      <c r="C400" s="16">
        <f>IF(A400="","",A400-$B$17)</f>
        <v/>
      </c>
      <c r="D400" s="16">
        <f>IF(A400="","",ROUND($B$15+$B$25*(A400-$B$17),9))</f>
        <v/>
      </c>
      <c r="E400" s="16">
        <f>IF(A400="","",ROUND(D400-$B$15,9))</f>
        <v/>
      </c>
    </row>
    <row r="401">
      <c r="A401" s="16">
        <f>IF(OR(A400="",A400&gt;=$B$18),"",MIN($B$18,(FLOOR(A400/$B$19+0.000000001,1)+1)*$B$19))</f>
        <v/>
      </c>
      <c r="B401" s="17">
        <f>IF(A401="","",IF(A401&lt;0,"-","")&amp;INT(ABS(A401)/1000)&amp;"+"&amp;TEXT(MOD(ABS(A401),1000),"000.000"))</f>
        <v/>
      </c>
      <c r="C401" s="16">
        <f>IF(A401="","",A401-$B$17)</f>
        <v/>
      </c>
      <c r="D401" s="16">
        <f>IF(A401="","",ROUND($B$15+$B$25*(A401-$B$17),9))</f>
        <v/>
      </c>
      <c r="E401" s="16">
        <f>IF(A401="","",ROUND(D401-$B$15,9))</f>
        <v/>
      </c>
    </row>
    <row r="402">
      <c r="A402" s="16">
        <f>IF(OR(A401="",A401&gt;=$B$18),"",MIN($B$18,(FLOOR(A401/$B$19+0.000000001,1)+1)*$B$19))</f>
        <v/>
      </c>
      <c r="B402" s="17">
        <f>IF(A402="","",IF(A402&lt;0,"-","")&amp;INT(ABS(A402)/1000)&amp;"+"&amp;TEXT(MOD(ABS(A402),1000),"000.000"))</f>
        <v/>
      </c>
      <c r="C402" s="16">
        <f>IF(A402="","",A402-$B$17)</f>
        <v/>
      </c>
      <c r="D402" s="16">
        <f>IF(A402="","",ROUND($B$15+$B$25*(A402-$B$17),9))</f>
        <v/>
      </c>
      <c r="E402" s="16">
        <f>IF(A402="","",ROUND(D402-$B$15,9))</f>
        <v/>
      </c>
    </row>
    <row r="403">
      <c r="A403" s="16">
        <f>IF(OR(A402="",A402&gt;=$B$18),"",MIN($B$18,(FLOOR(A402/$B$19+0.000000001,1)+1)*$B$19))</f>
        <v/>
      </c>
      <c r="B403" s="17">
        <f>IF(A403="","",IF(A403&lt;0,"-","")&amp;INT(ABS(A403)/1000)&amp;"+"&amp;TEXT(MOD(ABS(A403),1000),"000.000"))</f>
        <v/>
      </c>
      <c r="C403" s="16">
        <f>IF(A403="","",A403-$B$17)</f>
        <v/>
      </c>
      <c r="D403" s="16">
        <f>IF(A403="","",ROUND($B$15+$B$25*(A403-$B$17),9))</f>
        <v/>
      </c>
      <c r="E403" s="16">
        <f>IF(A403="","",ROUND(D403-$B$15,9))</f>
        <v/>
      </c>
    </row>
    <row r="404">
      <c r="A404" s="16">
        <f>IF(OR(A403="",A403&gt;=$B$18),"",MIN($B$18,(FLOOR(A403/$B$19+0.000000001,1)+1)*$B$19))</f>
        <v/>
      </c>
      <c r="B404" s="17">
        <f>IF(A404="","",IF(A404&lt;0,"-","")&amp;INT(ABS(A404)/1000)&amp;"+"&amp;TEXT(MOD(ABS(A404),1000),"000.000"))</f>
        <v/>
      </c>
      <c r="C404" s="16">
        <f>IF(A404="","",A404-$B$17)</f>
        <v/>
      </c>
      <c r="D404" s="16">
        <f>IF(A404="","",ROUND($B$15+$B$25*(A404-$B$17),9))</f>
        <v/>
      </c>
      <c r="E404" s="16">
        <f>IF(A404="","",ROUND(D404-$B$15,9))</f>
        <v/>
      </c>
    </row>
    <row r="405">
      <c r="A405" s="16">
        <f>IF(OR(A404="",A404&gt;=$B$18),"",MIN($B$18,(FLOOR(A404/$B$19+0.000000001,1)+1)*$B$19))</f>
        <v/>
      </c>
      <c r="B405" s="17">
        <f>IF(A405="","",IF(A405&lt;0,"-","")&amp;INT(ABS(A405)/1000)&amp;"+"&amp;TEXT(MOD(ABS(A405),1000),"000.000"))</f>
        <v/>
      </c>
      <c r="C405" s="16">
        <f>IF(A405="","",A405-$B$17)</f>
        <v/>
      </c>
      <c r="D405" s="16">
        <f>IF(A405="","",ROUND($B$15+$B$25*(A405-$B$17),9))</f>
        <v/>
      </c>
      <c r="E405" s="16">
        <f>IF(A405="","",ROUND(D405-$B$15,9))</f>
        <v/>
      </c>
    </row>
    <row r="406">
      <c r="A406" s="16">
        <f>IF(OR(A405="",A405&gt;=$B$18),"",MIN($B$18,(FLOOR(A405/$B$19+0.000000001,1)+1)*$B$19))</f>
        <v/>
      </c>
      <c r="B406" s="17">
        <f>IF(A406="","",IF(A406&lt;0,"-","")&amp;INT(ABS(A406)/1000)&amp;"+"&amp;TEXT(MOD(ABS(A406),1000),"000.000"))</f>
        <v/>
      </c>
      <c r="C406" s="16">
        <f>IF(A406="","",A406-$B$17)</f>
        <v/>
      </c>
      <c r="D406" s="16">
        <f>IF(A406="","",ROUND($B$15+$B$25*(A406-$B$17),9))</f>
        <v/>
      </c>
      <c r="E406" s="16">
        <f>IF(A406="","",ROUND(D406-$B$15,9))</f>
        <v/>
      </c>
    </row>
    <row r="407">
      <c r="A407" s="16">
        <f>IF(OR(A406="",A406&gt;=$B$18),"",MIN($B$18,(FLOOR(A406/$B$19+0.000000001,1)+1)*$B$19))</f>
        <v/>
      </c>
      <c r="B407" s="17">
        <f>IF(A407="","",IF(A407&lt;0,"-","")&amp;INT(ABS(A407)/1000)&amp;"+"&amp;TEXT(MOD(ABS(A407),1000),"000.000"))</f>
        <v/>
      </c>
      <c r="C407" s="16">
        <f>IF(A407="","",A407-$B$17)</f>
        <v/>
      </c>
      <c r="D407" s="16">
        <f>IF(A407="","",ROUND($B$15+$B$25*(A407-$B$17),9))</f>
        <v/>
      </c>
      <c r="E407" s="16">
        <f>IF(A407="","",ROUND(D407-$B$15,9))</f>
        <v/>
      </c>
    </row>
    <row r="408">
      <c r="A408" s="16">
        <f>IF(OR(A407="",A407&gt;=$B$18),"",MIN($B$18,(FLOOR(A407/$B$19+0.000000001,1)+1)*$B$19))</f>
        <v/>
      </c>
      <c r="B408" s="17">
        <f>IF(A408="","",IF(A408&lt;0,"-","")&amp;INT(ABS(A408)/1000)&amp;"+"&amp;TEXT(MOD(ABS(A408),1000),"000.000"))</f>
        <v/>
      </c>
      <c r="C408" s="16">
        <f>IF(A408="","",A408-$B$17)</f>
        <v/>
      </c>
      <c r="D408" s="16">
        <f>IF(A408="","",ROUND($B$15+$B$25*(A408-$B$17),9))</f>
        <v/>
      </c>
      <c r="E408" s="16">
        <f>IF(A408="","",ROUND(D408-$B$15,9))</f>
        <v/>
      </c>
    </row>
    <row r="409">
      <c r="A409" s="16">
        <f>IF(OR(A408="",A408&gt;=$B$18),"",MIN($B$18,(FLOOR(A408/$B$19+0.000000001,1)+1)*$B$19))</f>
        <v/>
      </c>
      <c r="B409" s="17">
        <f>IF(A409="","",IF(A409&lt;0,"-","")&amp;INT(ABS(A409)/1000)&amp;"+"&amp;TEXT(MOD(ABS(A409),1000),"000.000"))</f>
        <v/>
      </c>
      <c r="C409" s="16">
        <f>IF(A409="","",A409-$B$17)</f>
        <v/>
      </c>
      <c r="D409" s="16">
        <f>IF(A409="","",ROUND($B$15+$B$25*(A409-$B$17),9))</f>
        <v/>
      </c>
      <c r="E409" s="16">
        <f>IF(A409="","",ROUND(D409-$B$15,9))</f>
        <v/>
      </c>
    </row>
    <row r="410">
      <c r="A410" s="16">
        <f>IF(OR(A409="",A409&gt;=$B$18),"",MIN($B$18,(FLOOR(A409/$B$19+0.000000001,1)+1)*$B$19))</f>
        <v/>
      </c>
      <c r="B410" s="17">
        <f>IF(A410="","",IF(A410&lt;0,"-","")&amp;INT(ABS(A410)/1000)&amp;"+"&amp;TEXT(MOD(ABS(A410),1000),"000.000"))</f>
        <v/>
      </c>
      <c r="C410" s="16">
        <f>IF(A410="","",A410-$B$17)</f>
        <v/>
      </c>
      <c r="D410" s="16">
        <f>IF(A410="","",ROUND($B$15+$B$25*(A410-$B$17),9))</f>
        <v/>
      </c>
      <c r="E410" s="16">
        <f>IF(A410="","",ROUND(D410-$B$15,9))</f>
        <v/>
      </c>
    </row>
    <row r="411">
      <c r="A411" s="16">
        <f>IF(OR(A410="",A410&gt;=$B$18),"",MIN($B$18,(FLOOR(A410/$B$19+0.000000001,1)+1)*$B$19))</f>
        <v/>
      </c>
      <c r="B411" s="17">
        <f>IF(A411="","",IF(A411&lt;0,"-","")&amp;INT(ABS(A411)/1000)&amp;"+"&amp;TEXT(MOD(ABS(A411),1000),"000.000"))</f>
        <v/>
      </c>
      <c r="C411" s="16">
        <f>IF(A411="","",A411-$B$17)</f>
        <v/>
      </c>
      <c r="D411" s="16">
        <f>IF(A411="","",ROUND($B$15+$B$25*(A411-$B$17),9))</f>
        <v/>
      </c>
      <c r="E411" s="16">
        <f>IF(A411="","",ROUND(D411-$B$15,9))</f>
        <v/>
      </c>
    </row>
    <row r="412">
      <c r="A412" s="16">
        <f>IF(OR(A411="",A411&gt;=$B$18),"",MIN($B$18,(FLOOR(A411/$B$19+0.000000001,1)+1)*$B$19))</f>
        <v/>
      </c>
      <c r="B412" s="17">
        <f>IF(A412="","",IF(A412&lt;0,"-","")&amp;INT(ABS(A412)/1000)&amp;"+"&amp;TEXT(MOD(ABS(A412),1000),"000.000"))</f>
        <v/>
      </c>
      <c r="C412" s="16">
        <f>IF(A412="","",A412-$B$17)</f>
        <v/>
      </c>
      <c r="D412" s="16">
        <f>IF(A412="","",ROUND($B$15+$B$25*(A412-$B$17),9))</f>
        <v/>
      </c>
      <c r="E412" s="16">
        <f>IF(A412="","",ROUND(D412-$B$15,9))</f>
        <v/>
      </c>
    </row>
    <row r="413">
      <c r="A413" s="16">
        <f>IF(OR(A412="",A412&gt;=$B$18),"",MIN($B$18,(FLOOR(A412/$B$19+0.000000001,1)+1)*$B$19))</f>
        <v/>
      </c>
      <c r="B413" s="17">
        <f>IF(A413="","",IF(A413&lt;0,"-","")&amp;INT(ABS(A413)/1000)&amp;"+"&amp;TEXT(MOD(ABS(A413),1000),"000.000"))</f>
        <v/>
      </c>
      <c r="C413" s="16">
        <f>IF(A413="","",A413-$B$17)</f>
        <v/>
      </c>
      <c r="D413" s="16">
        <f>IF(A413="","",ROUND($B$15+$B$25*(A413-$B$17),9))</f>
        <v/>
      </c>
      <c r="E413" s="16">
        <f>IF(A413="","",ROUND(D413-$B$15,9))</f>
        <v/>
      </c>
    </row>
    <row r="414">
      <c r="A414" s="16">
        <f>IF(OR(A413="",A413&gt;=$B$18),"",MIN($B$18,(FLOOR(A413/$B$19+0.000000001,1)+1)*$B$19))</f>
        <v/>
      </c>
      <c r="B414" s="17">
        <f>IF(A414="","",IF(A414&lt;0,"-","")&amp;INT(ABS(A414)/1000)&amp;"+"&amp;TEXT(MOD(ABS(A414),1000),"000.000"))</f>
        <v/>
      </c>
      <c r="C414" s="16">
        <f>IF(A414="","",A414-$B$17)</f>
        <v/>
      </c>
      <c r="D414" s="16">
        <f>IF(A414="","",ROUND($B$15+$B$25*(A414-$B$17),9))</f>
        <v/>
      </c>
      <c r="E414" s="16">
        <f>IF(A414="","",ROUND(D414-$B$15,9))</f>
        <v/>
      </c>
    </row>
    <row r="415">
      <c r="A415" s="16">
        <f>IF(OR(A414="",A414&gt;=$B$18),"",MIN($B$18,(FLOOR(A414/$B$19+0.000000001,1)+1)*$B$19))</f>
        <v/>
      </c>
      <c r="B415" s="17">
        <f>IF(A415="","",IF(A415&lt;0,"-","")&amp;INT(ABS(A415)/1000)&amp;"+"&amp;TEXT(MOD(ABS(A415),1000),"000.000"))</f>
        <v/>
      </c>
      <c r="C415" s="16">
        <f>IF(A415="","",A415-$B$17)</f>
        <v/>
      </c>
      <c r="D415" s="16">
        <f>IF(A415="","",ROUND($B$15+$B$25*(A415-$B$17),9))</f>
        <v/>
      </c>
      <c r="E415" s="16">
        <f>IF(A415="","",ROUND(D415-$B$15,9))</f>
        <v/>
      </c>
    </row>
    <row r="416">
      <c r="A416" s="16">
        <f>IF(OR(A415="",A415&gt;=$B$18),"",MIN($B$18,(FLOOR(A415/$B$19+0.000000001,1)+1)*$B$19))</f>
        <v/>
      </c>
      <c r="B416" s="17">
        <f>IF(A416="","",IF(A416&lt;0,"-","")&amp;INT(ABS(A416)/1000)&amp;"+"&amp;TEXT(MOD(ABS(A416),1000),"000.000"))</f>
        <v/>
      </c>
      <c r="C416" s="16">
        <f>IF(A416="","",A416-$B$17)</f>
        <v/>
      </c>
      <c r="D416" s="16">
        <f>IF(A416="","",ROUND($B$15+$B$25*(A416-$B$17),9))</f>
        <v/>
      </c>
      <c r="E416" s="16">
        <f>IF(A416="","",ROUND(D416-$B$15,9))</f>
        <v/>
      </c>
    </row>
    <row r="417">
      <c r="A417" s="16">
        <f>IF(OR(A416="",A416&gt;=$B$18),"",MIN($B$18,(FLOOR(A416/$B$19+0.000000001,1)+1)*$B$19))</f>
        <v/>
      </c>
      <c r="B417" s="17">
        <f>IF(A417="","",IF(A417&lt;0,"-","")&amp;INT(ABS(A417)/1000)&amp;"+"&amp;TEXT(MOD(ABS(A417),1000),"000.000"))</f>
        <v/>
      </c>
      <c r="C417" s="16">
        <f>IF(A417="","",A417-$B$17)</f>
        <v/>
      </c>
      <c r="D417" s="16">
        <f>IF(A417="","",ROUND($B$15+$B$25*(A417-$B$17),9))</f>
        <v/>
      </c>
      <c r="E417" s="16">
        <f>IF(A417="","",ROUND(D417-$B$15,9))</f>
        <v/>
      </c>
    </row>
    <row r="418">
      <c r="A418" s="16">
        <f>IF(OR(A417="",A417&gt;=$B$18),"",MIN($B$18,(FLOOR(A417/$B$19+0.000000001,1)+1)*$B$19))</f>
        <v/>
      </c>
      <c r="B418" s="17">
        <f>IF(A418="","",IF(A418&lt;0,"-","")&amp;INT(ABS(A418)/1000)&amp;"+"&amp;TEXT(MOD(ABS(A418),1000),"000.000"))</f>
        <v/>
      </c>
      <c r="C418" s="16">
        <f>IF(A418="","",A418-$B$17)</f>
        <v/>
      </c>
      <c r="D418" s="16">
        <f>IF(A418="","",ROUND($B$15+$B$25*(A418-$B$17),9))</f>
        <v/>
      </c>
      <c r="E418" s="16">
        <f>IF(A418="","",ROUND(D418-$B$15,9))</f>
        <v/>
      </c>
    </row>
    <row r="419">
      <c r="A419" s="16">
        <f>IF(OR(A418="",A418&gt;=$B$18),"",MIN($B$18,(FLOOR(A418/$B$19+0.000000001,1)+1)*$B$19))</f>
        <v/>
      </c>
      <c r="B419" s="17">
        <f>IF(A419="","",IF(A419&lt;0,"-","")&amp;INT(ABS(A419)/1000)&amp;"+"&amp;TEXT(MOD(ABS(A419),1000),"000.000"))</f>
        <v/>
      </c>
      <c r="C419" s="16">
        <f>IF(A419="","",A419-$B$17)</f>
        <v/>
      </c>
      <c r="D419" s="16">
        <f>IF(A419="","",ROUND($B$15+$B$25*(A419-$B$17),9))</f>
        <v/>
      </c>
      <c r="E419" s="16">
        <f>IF(A419="","",ROUND(D419-$B$15,9))</f>
        <v/>
      </c>
    </row>
    <row r="420">
      <c r="A420" s="16">
        <f>IF(OR(A419="",A419&gt;=$B$18),"",MIN($B$18,(FLOOR(A419/$B$19+0.000000001,1)+1)*$B$19))</f>
        <v/>
      </c>
      <c r="B420" s="17">
        <f>IF(A420="","",IF(A420&lt;0,"-","")&amp;INT(ABS(A420)/1000)&amp;"+"&amp;TEXT(MOD(ABS(A420),1000),"000.000"))</f>
        <v/>
      </c>
      <c r="C420" s="16">
        <f>IF(A420="","",A420-$B$17)</f>
        <v/>
      </c>
      <c r="D420" s="16">
        <f>IF(A420="","",ROUND($B$15+$B$25*(A420-$B$17),9))</f>
        <v/>
      </c>
      <c r="E420" s="16">
        <f>IF(A420="","",ROUND(D420-$B$15,9))</f>
        <v/>
      </c>
    </row>
    <row r="421">
      <c r="A421" s="16">
        <f>IF(OR(A420="",A420&gt;=$B$18),"",MIN($B$18,(FLOOR(A420/$B$19+0.000000001,1)+1)*$B$19))</f>
        <v/>
      </c>
      <c r="B421" s="17">
        <f>IF(A421="","",IF(A421&lt;0,"-","")&amp;INT(ABS(A421)/1000)&amp;"+"&amp;TEXT(MOD(ABS(A421),1000),"000.000"))</f>
        <v/>
      </c>
      <c r="C421" s="16">
        <f>IF(A421="","",A421-$B$17)</f>
        <v/>
      </c>
      <c r="D421" s="16">
        <f>IF(A421="","",ROUND($B$15+$B$25*(A421-$B$17),9))</f>
        <v/>
      </c>
      <c r="E421" s="16">
        <f>IF(A421="","",ROUND(D421-$B$15,9))</f>
        <v/>
      </c>
    </row>
    <row r="422">
      <c r="A422" s="16">
        <f>IF(OR(A421="",A421&gt;=$B$18),"",MIN($B$18,(FLOOR(A421/$B$19+0.000000001,1)+1)*$B$19))</f>
        <v/>
      </c>
      <c r="B422" s="17">
        <f>IF(A422="","",IF(A422&lt;0,"-","")&amp;INT(ABS(A422)/1000)&amp;"+"&amp;TEXT(MOD(ABS(A422),1000),"000.000"))</f>
        <v/>
      </c>
      <c r="C422" s="16">
        <f>IF(A422="","",A422-$B$17)</f>
        <v/>
      </c>
      <c r="D422" s="16">
        <f>IF(A422="","",ROUND($B$15+$B$25*(A422-$B$17),9))</f>
        <v/>
      </c>
      <c r="E422" s="16">
        <f>IF(A422="","",ROUND(D422-$B$15,9))</f>
        <v/>
      </c>
    </row>
    <row r="423">
      <c r="A423" s="16">
        <f>IF(OR(A422="",A422&gt;=$B$18),"",MIN($B$18,(FLOOR(A422/$B$19+0.000000001,1)+1)*$B$19))</f>
        <v/>
      </c>
      <c r="B423" s="17">
        <f>IF(A423="","",IF(A423&lt;0,"-","")&amp;INT(ABS(A423)/1000)&amp;"+"&amp;TEXT(MOD(ABS(A423),1000),"000.000"))</f>
        <v/>
      </c>
      <c r="C423" s="16">
        <f>IF(A423="","",A423-$B$17)</f>
        <v/>
      </c>
      <c r="D423" s="16">
        <f>IF(A423="","",ROUND($B$15+$B$25*(A423-$B$17),9))</f>
        <v/>
      </c>
      <c r="E423" s="16">
        <f>IF(A423="","",ROUND(D423-$B$15,9))</f>
        <v/>
      </c>
    </row>
    <row r="424">
      <c r="A424" s="16">
        <f>IF(OR(A423="",A423&gt;=$B$18),"",MIN($B$18,(FLOOR(A423/$B$19+0.000000001,1)+1)*$B$19))</f>
        <v/>
      </c>
      <c r="B424" s="17">
        <f>IF(A424="","",IF(A424&lt;0,"-","")&amp;INT(ABS(A424)/1000)&amp;"+"&amp;TEXT(MOD(ABS(A424),1000),"000.000"))</f>
        <v/>
      </c>
      <c r="C424" s="16">
        <f>IF(A424="","",A424-$B$17)</f>
        <v/>
      </c>
      <c r="D424" s="16">
        <f>IF(A424="","",ROUND($B$15+$B$25*(A424-$B$17),9))</f>
        <v/>
      </c>
      <c r="E424" s="16">
        <f>IF(A424="","",ROUND(D424-$B$15,9))</f>
        <v/>
      </c>
    </row>
    <row r="425">
      <c r="A425" s="16">
        <f>IF(OR(A424="",A424&gt;=$B$18),"",MIN($B$18,(FLOOR(A424/$B$19+0.000000001,1)+1)*$B$19))</f>
        <v/>
      </c>
      <c r="B425" s="17">
        <f>IF(A425="","",IF(A425&lt;0,"-","")&amp;INT(ABS(A425)/1000)&amp;"+"&amp;TEXT(MOD(ABS(A425),1000),"000.000"))</f>
        <v/>
      </c>
      <c r="C425" s="16">
        <f>IF(A425="","",A425-$B$17)</f>
        <v/>
      </c>
      <c r="D425" s="16">
        <f>IF(A425="","",ROUND($B$15+$B$25*(A425-$B$17),9))</f>
        <v/>
      </c>
      <c r="E425" s="16">
        <f>IF(A425="","",ROUND(D425-$B$15,9))</f>
        <v/>
      </c>
    </row>
    <row r="426">
      <c r="A426" s="16">
        <f>IF(OR(A425="",A425&gt;=$B$18),"",MIN($B$18,(FLOOR(A425/$B$19+0.000000001,1)+1)*$B$19))</f>
        <v/>
      </c>
      <c r="B426" s="17">
        <f>IF(A426="","",IF(A426&lt;0,"-","")&amp;INT(ABS(A426)/1000)&amp;"+"&amp;TEXT(MOD(ABS(A426),1000),"000.000"))</f>
        <v/>
      </c>
      <c r="C426" s="16">
        <f>IF(A426="","",A426-$B$17)</f>
        <v/>
      </c>
      <c r="D426" s="16">
        <f>IF(A426="","",ROUND($B$15+$B$25*(A426-$B$17),9))</f>
        <v/>
      </c>
      <c r="E426" s="16">
        <f>IF(A426="","",ROUND(D426-$B$15,9))</f>
        <v/>
      </c>
    </row>
    <row r="427">
      <c r="A427" s="16">
        <f>IF(OR(A426="",A426&gt;=$B$18),"",MIN($B$18,(FLOOR(A426/$B$19+0.000000001,1)+1)*$B$19))</f>
        <v/>
      </c>
      <c r="B427" s="17">
        <f>IF(A427="","",IF(A427&lt;0,"-","")&amp;INT(ABS(A427)/1000)&amp;"+"&amp;TEXT(MOD(ABS(A427),1000),"000.000"))</f>
        <v/>
      </c>
      <c r="C427" s="16">
        <f>IF(A427="","",A427-$B$17)</f>
        <v/>
      </c>
      <c r="D427" s="16">
        <f>IF(A427="","",ROUND($B$15+$B$25*(A427-$B$17),9))</f>
        <v/>
      </c>
      <c r="E427" s="16">
        <f>IF(A427="","",ROUND(D427-$B$15,9))</f>
        <v/>
      </c>
    </row>
    <row r="428">
      <c r="A428" s="16">
        <f>IF(OR(A427="",A427&gt;=$B$18),"",MIN($B$18,(FLOOR(A427/$B$19+0.000000001,1)+1)*$B$19))</f>
        <v/>
      </c>
      <c r="B428" s="17">
        <f>IF(A428="","",IF(A428&lt;0,"-","")&amp;INT(ABS(A428)/1000)&amp;"+"&amp;TEXT(MOD(ABS(A428),1000),"000.000"))</f>
        <v/>
      </c>
      <c r="C428" s="16">
        <f>IF(A428="","",A428-$B$17)</f>
        <v/>
      </c>
      <c r="D428" s="16">
        <f>IF(A428="","",ROUND($B$15+$B$25*(A428-$B$17),9))</f>
        <v/>
      </c>
      <c r="E428" s="16">
        <f>IF(A428="","",ROUND(D428-$B$15,9))</f>
        <v/>
      </c>
    </row>
    <row r="429">
      <c r="A429" s="16">
        <f>IF(OR(A428="",A428&gt;=$B$18),"",MIN($B$18,(FLOOR(A428/$B$19+0.000000001,1)+1)*$B$19))</f>
        <v/>
      </c>
      <c r="B429" s="17">
        <f>IF(A429="","",IF(A429&lt;0,"-","")&amp;INT(ABS(A429)/1000)&amp;"+"&amp;TEXT(MOD(ABS(A429),1000),"000.000"))</f>
        <v/>
      </c>
      <c r="C429" s="16">
        <f>IF(A429="","",A429-$B$17)</f>
        <v/>
      </c>
      <c r="D429" s="16">
        <f>IF(A429="","",ROUND($B$15+$B$25*(A429-$B$17),9))</f>
        <v/>
      </c>
      <c r="E429" s="16">
        <f>IF(A429="","",ROUND(D429-$B$15,9))</f>
        <v/>
      </c>
    </row>
    <row r="430">
      <c r="A430" s="16">
        <f>IF(OR(A429="",A429&gt;=$B$18),"",MIN($B$18,(FLOOR(A429/$B$19+0.000000001,1)+1)*$B$19))</f>
        <v/>
      </c>
      <c r="B430" s="17">
        <f>IF(A430="","",IF(A430&lt;0,"-","")&amp;INT(ABS(A430)/1000)&amp;"+"&amp;TEXT(MOD(ABS(A430),1000),"000.000"))</f>
        <v/>
      </c>
      <c r="C430" s="16">
        <f>IF(A430="","",A430-$B$17)</f>
        <v/>
      </c>
      <c r="D430" s="16">
        <f>IF(A430="","",ROUND($B$15+$B$25*(A430-$B$17),9))</f>
        <v/>
      </c>
      <c r="E430" s="16">
        <f>IF(A430="","",ROUND(D430-$B$15,9))</f>
        <v/>
      </c>
    </row>
    <row r="431">
      <c r="A431" s="16">
        <f>IF(OR(A430="",A430&gt;=$B$18),"",MIN($B$18,(FLOOR(A430/$B$19+0.000000001,1)+1)*$B$19))</f>
        <v/>
      </c>
      <c r="B431" s="17">
        <f>IF(A431="","",IF(A431&lt;0,"-","")&amp;INT(ABS(A431)/1000)&amp;"+"&amp;TEXT(MOD(ABS(A431),1000),"000.000"))</f>
        <v/>
      </c>
      <c r="C431" s="16">
        <f>IF(A431="","",A431-$B$17)</f>
        <v/>
      </c>
      <c r="D431" s="16">
        <f>IF(A431="","",ROUND($B$15+$B$25*(A431-$B$17),9))</f>
        <v/>
      </c>
      <c r="E431" s="16">
        <f>IF(A431="","",ROUND(D431-$B$15,9))</f>
        <v/>
      </c>
    </row>
    <row r="432">
      <c r="A432" s="16">
        <f>IF(OR(A431="",A431&gt;=$B$18),"",MIN($B$18,(FLOOR(A431/$B$19+0.000000001,1)+1)*$B$19))</f>
        <v/>
      </c>
      <c r="B432" s="17">
        <f>IF(A432="","",IF(A432&lt;0,"-","")&amp;INT(ABS(A432)/1000)&amp;"+"&amp;TEXT(MOD(ABS(A432),1000),"000.000"))</f>
        <v/>
      </c>
      <c r="C432" s="16">
        <f>IF(A432="","",A432-$B$17)</f>
        <v/>
      </c>
      <c r="D432" s="16">
        <f>IF(A432="","",ROUND($B$15+$B$25*(A432-$B$17),9))</f>
        <v/>
      </c>
      <c r="E432" s="16">
        <f>IF(A432="","",ROUND(D432-$B$15,9))</f>
        <v/>
      </c>
    </row>
    <row r="433">
      <c r="A433" s="16">
        <f>IF(OR(A432="",A432&gt;=$B$18),"",MIN($B$18,(FLOOR(A432/$B$19+0.000000001,1)+1)*$B$19))</f>
        <v/>
      </c>
      <c r="B433" s="17">
        <f>IF(A433="","",IF(A433&lt;0,"-","")&amp;INT(ABS(A433)/1000)&amp;"+"&amp;TEXT(MOD(ABS(A433),1000),"000.000"))</f>
        <v/>
      </c>
      <c r="C433" s="16">
        <f>IF(A433="","",A433-$B$17)</f>
        <v/>
      </c>
      <c r="D433" s="16">
        <f>IF(A433="","",ROUND($B$15+$B$25*(A433-$B$17),9))</f>
        <v/>
      </c>
      <c r="E433" s="16">
        <f>IF(A433="","",ROUND(D433-$B$15,9))</f>
        <v/>
      </c>
    </row>
    <row r="434">
      <c r="A434" s="16">
        <f>IF(OR(A433="",A433&gt;=$B$18),"",MIN($B$18,(FLOOR(A433/$B$19+0.000000001,1)+1)*$B$19))</f>
        <v/>
      </c>
      <c r="B434" s="17">
        <f>IF(A434="","",IF(A434&lt;0,"-","")&amp;INT(ABS(A434)/1000)&amp;"+"&amp;TEXT(MOD(ABS(A434),1000),"000.000"))</f>
        <v/>
      </c>
      <c r="C434" s="16">
        <f>IF(A434="","",A434-$B$17)</f>
        <v/>
      </c>
      <c r="D434" s="16">
        <f>IF(A434="","",ROUND($B$15+$B$25*(A434-$B$17),9))</f>
        <v/>
      </c>
      <c r="E434" s="16">
        <f>IF(A434="","",ROUND(D434-$B$15,9))</f>
        <v/>
      </c>
    </row>
    <row r="435">
      <c r="A435" s="16">
        <f>IF(OR(A434="",A434&gt;=$B$18),"",MIN($B$18,(FLOOR(A434/$B$19+0.000000001,1)+1)*$B$19))</f>
        <v/>
      </c>
      <c r="B435" s="17">
        <f>IF(A435="","",IF(A435&lt;0,"-","")&amp;INT(ABS(A435)/1000)&amp;"+"&amp;TEXT(MOD(ABS(A435),1000),"000.000"))</f>
        <v/>
      </c>
      <c r="C435" s="16">
        <f>IF(A435="","",A435-$B$17)</f>
        <v/>
      </c>
      <c r="D435" s="16">
        <f>IF(A435="","",ROUND($B$15+$B$25*(A435-$B$17),9))</f>
        <v/>
      </c>
      <c r="E435" s="16">
        <f>IF(A435="","",ROUND(D435-$B$15,9))</f>
        <v/>
      </c>
    </row>
    <row r="436">
      <c r="A436" s="16">
        <f>IF(OR(A435="",A435&gt;=$B$18),"",MIN($B$18,(FLOOR(A435/$B$19+0.000000001,1)+1)*$B$19))</f>
        <v/>
      </c>
      <c r="B436" s="17">
        <f>IF(A436="","",IF(A436&lt;0,"-","")&amp;INT(ABS(A436)/1000)&amp;"+"&amp;TEXT(MOD(ABS(A436),1000),"000.000"))</f>
        <v/>
      </c>
      <c r="C436" s="16">
        <f>IF(A436="","",A436-$B$17)</f>
        <v/>
      </c>
      <c r="D436" s="16">
        <f>IF(A436="","",ROUND($B$15+$B$25*(A436-$B$17),9))</f>
        <v/>
      </c>
      <c r="E436" s="16">
        <f>IF(A436="","",ROUND(D436-$B$15,9))</f>
        <v/>
      </c>
    </row>
    <row r="437">
      <c r="A437" s="16">
        <f>IF(OR(A436="",A436&gt;=$B$18),"",MIN($B$18,(FLOOR(A436/$B$19+0.000000001,1)+1)*$B$19))</f>
        <v/>
      </c>
      <c r="B437" s="17">
        <f>IF(A437="","",IF(A437&lt;0,"-","")&amp;INT(ABS(A437)/1000)&amp;"+"&amp;TEXT(MOD(ABS(A437),1000),"000.000"))</f>
        <v/>
      </c>
      <c r="C437" s="16">
        <f>IF(A437="","",A437-$B$17)</f>
        <v/>
      </c>
      <c r="D437" s="16">
        <f>IF(A437="","",ROUND($B$15+$B$25*(A437-$B$17),9))</f>
        <v/>
      </c>
      <c r="E437" s="16">
        <f>IF(A437="","",ROUND(D437-$B$15,9))</f>
        <v/>
      </c>
    </row>
    <row r="438">
      <c r="A438" s="16">
        <f>IF(OR(A437="",A437&gt;=$B$18),"",MIN($B$18,(FLOOR(A437/$B$19+0.000000001,1)+1)*$B$19))</f>
        <v/>
      </c>
      <c r="B438" s="17">
        <f>IF(A438="","",IF(A438&lt;0,"-","")&amp;INT(ABS(A438)/1000)&amp;"+"&amp;TEXT(MOD(ABS(A438),1000),"000.000"))</f>
        <v/>
      </c>
      <c r="C438" s="16">
        <f>IF(A438="","",A438-$B$17)</f>
        <v/>
      </c>
      <c r="D438" s="16">
        <f>IF(A438="","",ROUND($B$15+$B$25*(A438-$B$17),9))</f>
        <v/>
      </c>
      <c r="E438" s="16">
        <f>IF(A438="","",ROUND(D438-$B$15,9))</f>
        <v/>
      </c>
    </row>
    <row r="439">
      <c r="A439" s="16">
        <f>IF(OR(A438="",A438&gt;=$B$18),"",MIN($B$18,(FLOOR(A438/$B$19+0.000000001,1)+1)*$B$19))</f>
        <v/>
      </c>
      <c r="B439" s="17">
        <f>IF(A439="","",IF(A439&lt;0,"-","")&amp;INT(ABS(A439)/1000)&amp;"+"&amp;TEXT(MOD(ABS(A439),1000),"000.000"))</f>
        <v/>
      </c>
      <c r="C439" s="16">
        <f>IF(A439="","",A439-$B$17)</f>
        <v/>
      </c>
      <c r="D439" s="16">
        <f>IF(A439="","",ROUND($B$15+$B$25*(A439-$B$17),9))</f>
        <v/>
      </c>
      <c r="E439" s="16">
        <f>IF(A439="","",ROUND(D439-$B$15,9))</f>
        <v/>
      </c>
    </row>
    <row r="440">
      <c r="A440" s="16">
        <f>IF(OR(A439="",A439&gt;=$B$18),"",MIN($B$18,(FLOOR(A439/$B$19+0.000000001,1)+1)*$B$19))</f>
        <v/>
      </c>
      <c r="B440" s="17">
        <f>IF(A440="","",IF(A440&lt;0,"-","")&amp;INT(ABS(A440)/1000)&amp;"+"&amp;TEXT(MOD(ABS(A440),1000),"000.000"))</f>
        <v/>
      </c>
      <c r="C440" s="16">
        <f>IF(A440="","",A440-$B$17)</f>
        <v/>
      </c>
      <c r="D440" s="16">
        <f>IF(A440="","",ROUND($B$15+$B$25*(A440-$B$17),9))</f>
        <v/>
      </c>
      <c r="E440" s="16">
        <f>IF(A440="","",ROUND(D440-$B$15,9))</f>
        <v/>
      </c>
    </row>
    <row r="441">
      <c r="A441" s="16">
        <f>IF(OR(A440="",A440&gt;=$B$18),"",MIN($B$18,(FLOOR(A440/$B$19+0.000000001,1)+1)*$B$19))</f>
        <v/>
      </c>
      <c r="B441" s="17">
        <f>IF(A441="","",IF(A441&lt;0,"-","")&amp;INT(ABS(A441)/1000)&amp;"+"&amp;TEXT(MOD(ABS(A441),1000),"000.000"))</f>
        <v/>
      </c>
      <c r="C441" s="16">
        <f>IF(A441="","",A441-$B$17)</f>
        <v/>
      </c>
      <c r="D441" s="16">
        <f>IF(A441="","",ROUND($B$15+$B$25*(A441-$B$17),9))</f>
        <v/>
      </c>
      <c r="E441" s="16">
        <f>IF(A441="","",ROUND(D441-$B$15,9))</f>
        <v/>
      </c>
    </row>
    <row r="442">
      <c r="A442" s="16">
        <f>IF(OR(A441="",A441&gt;=$B$18),"",MIN($B$18,(FLOOR(A441/$B$19+0.000000001,1)+1)*$B$19))</f>
        <v/>
      </c>
      <c r="B442" s="17">
        <f>IF(A442="","",IF(A442&lt;0,"-","")&amp;INT(ABS(A442)/1000)&amp;"+"&amp;TEXT(MOD(ABS(A442),1000),"000.000"))</f>
        <v/>
      </c>
      <c r="C442" s="16">
        <f>IF(A442="","",A442-$B$17)</f>
        <v/>
      </c>
      <c r="D442" s="16">
        <f>IF(A442="","",ROUND($B$15+$B$25*(A442-$B$17),9))</f>
        <v/>
      </c>
      <c r="E442" s="16">
        <f>IF(A442="","",ROUND(D442-$B$15,9))</f>
        <v/>
      </c>
    </row>
    <row r="443">
      <c r="A443" s="16">
        <f>IF(OR(A442="",A442&gt;=$B$18),"",MIN($B$18,(FLOOR(A442/$B$19+0.000000001,1)+1)*$B$19))</f>
        <v/>
      </c>
      <c r="B443" s="17">
        <f>IF(A443="","",IF(A443&lt;0,"-","")&amp;INT(ABS(A443)/1000)&amp;"+"&amp;TEXT(MOD(ABS(A443),1000),"000.000"))</f>
        <v/>
      </c>
      <c r="C443" s="16">
        <f>IF(A443="","",A443-$B$17)</f>
        <v/>
      </c>
      <c r="D443" s="16">
        <f>IF(A443="","",ROUND($B$15+$B$25*(A443-$B$17),9))</f>
        <v/>
      </c>
      <c r="E443" s="16">
        <f>IF(A443="","",ROUND(D443-$B$15,9))</f>
        <v/>
      </c>
    </row>
    <row r="444">
      <c r="A444" s="16">
        <f>IF(OR(A443="",A443&gt;=$B$18),"",MIN($B$18,(FLOOR(A443/$B$19+0.000000001,1)+1)*$B$19))</f>
        <v/>
      </c>
      <c r="B444" s="17">
        <f>IF(A444="","",IF(A444&lt;0,"-","")&amp;INT(ABS(A444)/1000)&amp;"+"&amp;TEXT(MOD(ABS(A444),1000),"000.000"))</f>
        <v/>
      </c>
      <c r="C444" s="16">
        <f>IF(A444="","",A444-$B$17)</f>
        <v/>
      </c>
      <c r="D444" s="16">
        <f>IF(A444="","",ROUND($B$15+$B$25*(A444-$B$17),9))</f>
        <v/>
      </c>
      <c r="E444" s="16">
        <f>IF(A444="","",ROUND(D444-$B$15,9))</f>
        <v/>
      </c>
    </row>
    <row r="445">
      <c r="A445" s="16">
        <f>IF(OR(A444="",A444&gt;=$B$18),"",MIN($B$18,(FLOOR(A444/$B$19+0.000000001,1)+1)*$B$19))</f>
        <v/>
      </c>
      <c r="B445" s="17">
        <f>IF(A445="","",IF(A445&lt;0,"-","")&amp;INT(ABS(A445)/1000)&amp;"+"&amp;TEXT(MOD(ABS(A445),1000),"000.000"))</f>
        <v/>
      </c>
      <c r="C445" s="16">
        <f>IF(A445="","",A445-$B$17)</f>
        <v/>
      </c>
      <c r="D445" s="16">
        <f>IF(A445="","",ROUND($B$15+$B$25*(A445-$B$17),9))</f>
        <v/>
      </c>
      <c r="E445" s="16">
        <f>IF(A445="","",ROUND(D445-$B$15,9))</f>
        <v/>
      </c>
    </row>
    <row r="446">
      <c r="A446" s="16">
        <f>IF(OR(A445="",A445&gt;=$B$18),"",MIN($B$18,(FLOOR(A445/$B$19+0.000000001,1)+1)*$B$19))</f>
        <v/>
      </c>
      <c r="B446" s="17">
        <f>IF(A446="","",IF(A446&lt;0,"-","")&amp;INT(ABS(A446)/1000)&amp;"+"&amp;TEXT(MOD(ABS(A446),1000),"000.000"))</f>
        <v/>
      </c>
      <c r="C446" s="16">
        <f>IF(A446="","",A446-$B$17)</f>
        <v/>
      </c>
      <c r="D446" s="16">
        <f>IF(A446="","",ROUND($B$15+$B$25*(A446-$B$17),9))</f>
        <v/>
      </c>
      <c r="E446" s="16">
        <f>IF(A446="","",ROUND(D446-$B$15,9))</f>
        <v/>
      </c>
    </row>
    <row r="447">
      <c r="A447" s="16">
        <f>IF(OR(A446="",A446&gt;=$B$18),"",MIN($B$18,(FLOOR(A446/$B$19+0.000000001,1)+1)*$B$19))</f>
        <v/>
      </c>
      <c r="B447" s="17">
        <f>IF(A447="","",IF(A447&lt;0,"-","")&amp;INT(ABS(A447)/1000)&amp;"+"&amp;TEXT(MOD(ABS(A447),1000),"000.000"))</f>
        <v/>
      </c>
      <c r="C447" s="16">
        <f>IF(A447="","",A447-$B$17)</f>
        <v/>
      </c>
      <c r="D447" s="16">
        <f>IF(A447="","",ROUND($B$15+$B$25*(A447-$B$17),9))</f>
        <v/>
      </c>
      <c r="E447" s="16">
        <f>IF(A447="","",ROUND(D447-$B$15,9))</f>
        <v/>
      </c>
    </row>
    <row r="448">
      <c r="A448" s="16">
        <f>IF(OR(A447="",A447&gt;=$B$18),"",MIN($B$18,(FLOOR(A447/$B$19+0.000000001,1)+1)*$B$19))</f>
        <v/>
      </c>
      <c r="B448" s="17">
        <f>IF(A448="","",IF(A448&lt;0,"-","")&amp;INT(ABS(A448)/1000)&amp;"+"&amp;TEXT(MOD(ABS(A448),1000),"000.000"))</f>
        <v/>
      </c>
      <c r="C448" s="16">
        <f>IF(A448="","",A448-$B$17)</f>
        <v/>
      </c>
      <c r="D448" s="16">
        <f>IF(A448="","",ROUND($B$15+$B$25*(A448-$B$17),9))</f>
        <v/>
      </c>
      <c r="E448" s="16">
        <f>IF(A448="","",ROUND(D448-$B$15,9))</f>
        <v/>
      </c>
    </row>
    <row r="449">
      <c r="A449" s="16">
        <f>IF(OR(A448="",A448&gt;=$B$18),"",MIN($B$18,(FLOOR(A448/$B$19+0.000000001,1)+1)*$B$19))</f>
        <v/>
      </c>
      <c r="B449" s="17">
        <f>IF(A449="","",IF(A449&lt;0,"-","")&amp;INT(ABS(A449)/1000)&amp;"+"&amp;TEXT(MOD(ABS(A449),1000),"000.000"))</f>
        <v/>
      </c>
      <c r="C449" s="16">
        <f>IF(A449="","",A449-$B$17)</f>
        <v/>
      </c>
      <c r="D449" s="16">
        <f>IF(A449="","",ROUND($B$15+$B$25*(A449-$B$17),9))</f>
        <v/>
      </c>
      <c r="E449" s="16">
        <f>IF(A449="","",ROUND(D449-$B$15,9))</f>
        <v/>
      </c>
    </row>
    <row r="450">
      <c r="A450" s="16">
        <f>IF(OR(A449="",A449&gt;=$B$18),"",MIN($B$18,(FLOOR(A449/$B$19+0.000000001,1)+1)*$B$19))</f>
        <v/>
      </c>
      <c r="B450" s="17">
        <f>IF(A450="","",IF(A450&lt;0,"-","")&amp;INT(ABS(A450)/1000)&amp;"+"&amp;TEXT(MOD(ABS(A450),1000),"000.000"))</f>
        <v/>
      </c>
      <c r="C450" s="16">
        <f>IF(A450="","",A450-$B$17)</f>
        <v/>
      </c>
      <c r="D450" s="16">
        <f>IF(A450="","",ROUND($B$15+$B$25*(A450-$B$17),9))</f>
        <v/>
      </c>
      <c r="E450" s="16">
        <f>IF(A450="","",ROUND(D450-$B$15,9))</f>
        <v/>
      </c>
    </row>
    <row r="451">
      <c r="A451" s="16">
        <f>IF(OR(A450="",A450&gt;=$B$18),"",MIN($B$18,(FLOOR(A450/$B$19+0.000000001,1)+1)*$B$19))</f>
        <v/>
      </c>
      <c r="B451" s="17">
        <f>IF(A451="","",IF(A451&lt;0,"-","")&amp;INT(ABS(A451)/1000)&amp;"+"&amp;TEXT(MOD(ABS(A451),1000),"000.000"))</f>
        <v/>
      </c>
      <c r="C451" s="16">
        <f>IF(A451="","",A451-$B$17)</f>
        <v/>
      </c>
      <c r="D451" s="16">
        <f>IF(A451="","",ROUND($B$15+$B$25*(A451-$B$17),9))</f>
        <v/>
      </c>
      <c r="E451" s="16">
        <f>IF(A451="","",ROUND(D451-$B$15,9))</f>
        <v/>
      </c>
    </row>
    <row r="452">
      <c r="A452" s="16">
        <f>IF(OR(A451="",A451&gt;=$B$18),"",MIN($B$18,(FLOOR(A451/$B$19+0.000000001,1)+1)*$B$19))</f>
        <v/>
      </c>
      <c r="B452" s="17">
        <f>IF(A452="","",IF(A452&lt;0,"-","")&amp;INT(ABS(A452)/1000)&amp;"+"&amp;TEXT(MOD(ABS(A452),1000),"000.000"))</f>
        <v/>
      </c>
      <c r="C452" s="16">
        <f>IF(A452="","",A452-$B$17)</f>
        <v/>
      </c>
      <c r="D452" s="16">
        <f>IF(A452="","",ROUND($B$15+$B$25*(A452-$B$17),9))</f>
        <v/>
      </c>
      <c r="E452" s="16">
        <f>IF(A452="","",ROUND(D452-$B$15,9))</f>
        <v/>
      </c>
    </row>
    <row r="453">
      <c r="A453" s="16">
        <f>IF(OR(A452="",A452&gt;=$B$18),"",MIN($B$18,(FLOOR(A452/$B$19+0.000000001,1)+1)*$B$19))</f>
        <v/>
      </c>
      <c r="B453" s="17">
        <f>IF(A453="","",IF(A453&lt;0,"-","")&amp;INT(ABS(A453)/1000)&amp;"+"&amp;TEXT(MOD(ABS(A453),1000),"000.000"))</f>
        <v/>
      </c>
      <c r="C453" s="16">
        <f>IF(A453="","",A453-$B$17)</f>
        <v/>
      </c>
      <c r="D453" s="16">
        <f>IF(A453="","",ROUND($B$15+$B$25*(A453-$B$17),9))</f>
        <v/>
      </c>
      <c r="E453" s="16">
        <f>IF(A453="","",ROUND(D453-$B$15,9))</f>
        <v/>
      </c>
    </row>
    <row r="454">
      <c r="A454" s="16">
        <f>IF(OR(A453="",A453&gt;=$B$18),"",MIN($B$18,(FLOOR(A453/$B$19+0.000000001,1)+1)*$B$19))</f>
        <v/>
      </c>
      <c r="B454" s="17">
        <f>IF(A454="","",IF(A454&lt;0,"-","")&amp;INT(ABS(A454)/1000)&amp;"+"&amp;TEXT(MOD(ABS(A454),1000),"000.000"))</f>
        <v/>
      </c>
      <c r="C454" s="16">
        <f>IF(A454="","",A454-$B$17)</f>
        <v/>
      </c>
      <c r="D454" s="16">
        <f>IF(A454="","",ROUND($B$15+$B$25*(A454-$B$17),9))</f>
        <v/>
      </c>
      <c r="E454" s="16">
        <f>IF(A454="","",ROUND(D454-$B$15,9))</f>
        <v/>
      </c>
    </row>
    <row r="455">
      <c r="A455" s="16">
        <f>IF(OR(A454="",A454&gt;=$B$18),"",MIN($B$18,(FLOOR(A454/$B$19+0.000000001,1)+1)*$B$19))</f>
        <v/>
      </c>
      <c r="B455" s="17">
        <f>IF(A455="","",IF(A455&lt;0,"-","")&amp;INT(ABS(A455)/1000)&amp;"+"&amp;TEXT(MOD(ABS(A455),1000),"000.000"))</f>
        <v/>
      </c>
      <c r="C455" s="16">
        <f>IF(A455="","",A455-$B$17)</f>
        <v/>
      </c>
      <c r="D455" s="16">
        <f>IF(A455="","",ROUND($B$15+$B$25*(A455-$B$17),9))</f>
        <v/>
      </c>
      <c r="E455" s="16">
        <f>IF(A455="","",ROUND(D455-$B$15,9))</f>
        <v/>
      </c>
    </row>
    <row r="456">
      <c r="A456" s="16">
        <f>IF(OR(A455="",A455&gt;=$B$18),"",MIN($B$18,(FLOOR(A455/$B$19+0.000000001,1)+1)*$B$19))</f>
        <v/>
      </c>
      <c r="B456" s="17">
        <f>IF(A456="","",IF(A456&lt;0,"-","")&amp;INT(ABS(A456)/1000)&amp;"+"&amp;TEXT(MOD(ABS(A456),1000),"000.000"))</f>
        <v/>
      </c>
      <c r="C456" s="16">
        <f>IF(A456="","",A456-$B$17)</f>
        <v/>
      </c>
      <c r="D456" s="16">
        <f>IF(A456="","",ROUND($B$15+$B$25*(A456-$B$17),9))</f>
        <v/>
      </c>
      <c r="E456" s="16">
        <f>IF(A456="","",ROUND(D456-$B$15,9))</f>
        <v/>
      </c>
    </row>
    <row r="457">
      <c r="A457" s="16">
        <f>IF(OR(A456="",A456&gt;=$B$18),"",MIN($B$18,(FLOOR(A456/$B$19+0.000000001,1)+1)*$B$19))</f>
        <v/>
      </c>
      <c r="B457" s="17">
        <f>IF(A457="","",IF(A457&lt;0,"-","")&amp;INT(ABS(A457)/1000)&amp;"+"&amp;TEXT(MOD(ABS(A457),1000),"000.000"))</f>
        <v/>
      </c>
      <c r="C457" s="16">
        <f>IF(A457="","",A457-$B$17)</f>
        <v/>
      </c>
      <c r="D457" s="16">
        <f>IF(A457="","",ROUND($B$15+$B$25*(A457-$B$17),9))</f>
        <v/>
      </c>
      <c r="E457" s="16">
        <f>IF(A457="","",ROUND(D457-$B$15,9))</f>
        <v/>
      </c>
    </row>
    <row r="458">
      <c r="A458" s="16">
        <f>IF(OR(A457="",A457&gt;=$B$18),"",MIN($B$18,(FLOOR(A457/$B$19+0.000000001,1)+1)*$B$19))</f>
        <v/>
      </c>
      <c r="B458" s="17">
        <f>IF(A458="","",IF(A458&lt;0,"-","")&amp;INT(ABS(A458)/1000)&amp;"+"&amp;TEXT(MOD(ABS(A458),1000),"000.000"))</f>
        <v/>
      </c>
      <c r="C458" s="16">
        <f>IF(A458="","",A458-$B$17)</f>
        <v/>
      </c>
      <c r="D458" s="16">
        <f>IF(A458="","",ROUND($B$15+$B$25*(A458-$B$17),9))</f>
        <v/>
      </c>
      <c r="E458" s="16">
        <f>IF(A458="","",ROUND(D458-$B$15,9))</f>
        <v/>
      </c>
    </row>
    <row r="459">
      <c r="A459" s="16">
        <f>IF(OR(A458="",A458&gt;=$B$18),"",MIN($B$18,(FLOOR(A458/$B$19+0.000000001,1)+1)*$B$19))</f>
        <v/>
      </c>
      <c r="B459" s="17">
        <f>IF(A459="","",IF(A459&lt;0,"-","")&amp;INT(ABS(A459)/1000)&amp;"+"&amp;TEXT(MOD(ABS(A459),1000),"000.000"))</f>
        <v/>
      </c>
      <c r="C459" s="16">
        <f>IF(A459="","",A459-$B$17)</f>
        <v/>
      </c>
      <c r="D459" s="16">
        <f>IF(A459="","",ROUND($B$15+$B$25*(A459-$B$17),9))</f>
        <v/>
      </c>
      <c r="E459" s="16">
        <f>IF(A459="","",ROUND(D459-$B$15,9))</f>
        <v/>
      </c>
    </row>
    <row r="460">
      <c r="A460" s="16">
        <f>IF(OR(A459="",A459&gt;=$B$18),"",MIN($B$18,(FLOOR(A459/$B$19+0.000000001,1)+1)*$B$19))</f>
        <v/>
      </c>
      <c r="B460" s="17">
        <f>IF(A460="","",IF(A460&lt;0,"-","")&amp;INT(ABS(A460)/1000)&amp;"+"&amp;TEXT(MOD(ABS(A460),1000),"000.000"))</f>
        <v/>
      </c>
      <c r="C460" s="16">
        <f>IF(A460="","",A460-$B$17)</f>
        <v/>
      </c>
      <c r="D460" s="16">
        <f>IF(A460="","",ROUND($B$15+$B$25*(A460-$B$17),9))</f>
        <v/>
      </c>
      <c r="E460" s="16">
        <f>IF(A460="","",ROUND(D460-$B$15,9))</f>
        <v/>
      </c>
    </row>
    <row r="461">
      <c r="A461" s="16">
        <f>IF(OR(A460="",A460&gt;=$B$18),"",MIN($B$18,(FLOOR(A460/$B$19+0.000000001,1)+1)*$B$19))</f>
        <v/>
      </c>
      <c r="B461" s="17">
        <f>IF(A461="","",IF(A461&lt;0,"-","")&amp;INT(ABS(A461)/1000)&amp;"+"&amp;TEXT(MOD(ABS(A461),1000),"000.000"))</f>
        <v/>
      </c>
      <c r="C461" s="16">
        <f>IF(A461="","",A461-$B$17)</f>
        <v/>
      </c>
      <c r="D461" s="16">
        <f>IF(A461="","",ROUND($B$15+$B$25*(A461-$B$17),9))</f>
        <v/>
      </c>
      <c r="E461" s="16">
        <f>IF(A461="","",ROUND(D461-$B$15,9))</f>
        <v/>
      </c>
    </row>
    <row r="462">
      <c r="A462" s="16">
        <f>IF(OR(A461="",A461&gt;=$B$18),"",MIN($B$18,(FLOOR(A461/$B$19+0.000000001,1)+1)*$B$19))</f>
        <v/>
      </c>
      <c r="B462" s="17">
        <f>IF(A462="","",IF(A462&lt;0,"-","")&amp;INT(ABS(A462)/1000)&amp;"+"&amp;TEXT(MOD(ABS(A462),1000),"000.000"))</f>
        <v/>
      </c>
      <c r="C462" s="16">
        <f>IF(A462="","",A462-$B$17)</f>
        <v/>
      </c>
      <c r="D462" s="16">
        <f>IF(A462="","",ROUND($B$15+$B$25*(A462-$B$17),9))</f>
        <v/>
      </c>
      <c r="E462" s="16">
        <f>IF(A462="","",ROUND(D462-$B$15,9))</f>
        <v/>
      </c>
    </row>
    <row r="463">
      <c r="A463" s="16">
        <f>IF(OR(A462="",A462&gt;=$B$18),"",MIN($B$18,(FLOOR(A462/$B$19+0.000000001,1)+1)*$B$19))</f>
        <v/>
      </c>
      <c r="B463" s="17">
        <f>IF(A463="","",IF(A463&lt;0,"-","")&amp;INT(ABS(A463)/1000)&amp;"+"&amp;TEXT(MOD(ABS(A463),1000),"000.000"))</f>
        <v/>
      </c>
      <c r="C463" s="16">
        <f>IF(A463="","",A463-$B$17)</f>
        <v/>
      </c>
      <c r="D463" s="16">
        <f>IF(A463="","",ROUND($B$15+$B$25*(A463-$B$17),9))</f>
        <v/>
      </c>
      <c r="E463" s="16">
        <f>IF(A463="","",ROUND(D463-$B$15,9))</f>
        <v/>
      </c>
    </row>
    <row r="464">
      <c r="A464" s="16">
        <f>IF(OR(A463="",A463&gt;=$B$18),"",MIN($B$18,(FLOOR(A463/$B$19+0.000000001,1)+1)*$B$19))</f>
        <v/>
      </c>
      <c r="B464" s="17">
        <f>IF(A464="","",IF(A464&lt;0,"-","")&amp;INT(ABS(A464)/1000)&amp;"+"&amp;TEXT(MOD(ABS(A464),1000),"000.000"))</f>
        <v/>
      </c>
      <c r="C464" s="16">
        <f>IF(A464="","",A464-$B$17)</f>
        <v/>
      </c>
      <c r="D464" s="16">
        <f>IF(A464="","",ROUND($B$15+$B$25*(A464-$B$17),9))</f>
        <v/>
      </c>
      <c r="E464" s="16">
        <f>IF(A464="","",ROUND(D464-$B$15,9))</f>
        <v/>
      </c>
    </row>
    <row r="465">
      <c r="A465" s="16">
        <f>IF(OR(A464="",A464&gt;=$B$18),"",MIN($B$18,(FLOOR(A464/$B$19+0.000000001,1)+1)*$B$19))</f>
        <v/>
      </c>
      <c r="B465" s="17">
        <f>IF(A465="","",IF(A465&lt;0,"-","")&amp;INT(ABS(A465)/1000)&amp;"+"&amp;TEXT(MOD(ABS(A465),1000),"000.000"))</f>
        <v/>
      </c>
      <c r="C465" s="16">
        <f>IF(A465="","",A465-$B$17)</f>
        <v/>
      </c>
      <c r="D465" s="16">
        <f>IF(A465="","",ROUND($B$15+$B$25*(A465-$B$17),9))</f>
        <v/>
      </c>
      <c r="E465" s="16">
        <f>IF(A465="","",ROUND(D465-$B$15,9))</f>
        <v/>
      </c>
    </row>
    <row r="466">
      <c r="A466" s="16">
        <f>IF(OR(A465="",A465&gt;=$B$18),"",MIN($B$18,(FLOOR(A465/$B$19+0.000000001,1)+1)*$B$19))</f>
        <v/>
      </c>
      <c r="B466" s="17">
        <f>IF(A466="","",IF(A466&lt;0,"-","")&amp;INT(ABS(A466)/1000)&amp;"+"&amp;TEXT(MOD(ABS(A466),1000),"000.000"))</f>
        <v/>
      </c>
      <c r="C466" s="16">
        <f>IF(A466="","",A466-$B$17)</f>
        <v/>
      </c>
      <c r="D466" s="16">
        <f>IF(A466="","",ROUND($B$15+$B$25*(A466-$B$17),9))</f>
        <v/>
      </c>
      <c r="E466" s="16">
        <f>IF(A466="","",ROUND(D466-$B$15,9))</f>
        <v/>
      </c>
    </row>
    <row r="467">
      <c r="A467" s="16">
        <f>IF(OR(A466="",A466&gt;=$B$18),"",MIN($B$18,(FLOOR(A466/$B$19+0.000000001,1)+1)*$B$19))</f>
        <v/>
      </c>
      <c r="B467" s="17">
        <f>IF(A467="","",IF(A467&lt;0,"-","")&amp;INT(ABS(A467)/1000)&amp;"+"&amp;TEXT(MOD(ABS(A467),1000),"000.000"))</f>
        <v/>
      </c>
      <c r="C467" s="16">
        <f>IF(A467="","",A467-$B$17)</f>
        <v/>
      </c>
      <c r="D467" s="16">
        <f>IF(A467="","",ROUND($B$15+$B$25*(A467-$B$17),9))</f>
        <v/>
      </c>
      <c r="E467" s="16">
        <f>IF(A467="","",ROUND(D467-$B$15,9))</f>
        <v/>
      </c>
    </row>
    <row r="468">
      <c r="A468" s="16">
        <f>IF(OR(A467="",A467&gt;=$B$18),"",MIN($B$18,(FLOOR(A467/$B$19+0.000000001,1)+1)*$B$19))</f>
        <v/>
      </c>
      <c r="B468" s="17">
        <f>IF(A468="","",IF(A468&lt;0,"-","")&amp;INT(ABS(A468)/1000)&amp;"+"&amp;TEXT(MOD(ABS(A468),1000),"000.000"))</f>
        <v/>
      </c>
      <c r="C468" s="16">
        <f>IF(A468="","",A468-$B$17)</f>
        <v/>
      </c>
      <c r="D468" s="16">
        <f>IF(A468="","",ROUND($B$15+$B$25*(A468-$B$17),9))</f>
        <v/>
      </c>
      <c r="E468" s="16">
        <f>IF(A468="","",ROUND(D468-$B$15,9))</f>
        <v/>
      </c>
    </row>
    <row r="469">
      <c r="A469" s="16">
        <f>IF(OR(A468="",A468&gt;=$B$18),"",MIN($B$18,(FLOOR(A468/$B$19+0.000000001,1)+1)*$B$19))</f>
        <v/>
      </c>
      <c r="B469" s="17">
        <f>IF(A469="","",IF(A469&lt;0,"-","")&amp;INT(ABS(A469)/1000)&amp;"+"&amp;TEXT(MOD(ABS(A469),1000),"000.000"))</f>
        <v/>
      </c>
      <c r="C469" s="16">
        <f>IF(A469="","",A469-$B$17)</f>
        <v/>
      </c>
      <c r="D469" s="16">
        <f>IF(A469="","",ROUND($B$15+$B$25*(A469-$B$17),9))</f>
        <v/>
      </c>
      <c r="E469" s="16">
        <f>IF(A469="","",ROUND(D469-$B$15,9))</f>
        <v/>
      </c>
    </row>
    <row r="470">
      <c r="A470" s="16">
        <f>IF(OR(A469="",A469&gt;=$B$18),"",MIN($B$18,(FLOOR(A469/$B$19+0.000000001,1)+1)*$B$19))</f>
        <v/>
      </c>
      <c r="B470" s="17">
        <f>IF(A470="","",IF(A470&lt;0,"-","")&amp;INT(ABS(A470)/1000)&amp;"+"&amp;TEXT(MOD(ABS(A470),1000),"000.000"))</f>
        <v/>
      </c>
      <c r="C470" s="16">
        <f>IF(A470="","",A470-$B$17)</f>
        <v/>
      </c>
      <c r="D470" s="16">
        <f>IF(A470="","",ROUND($B$15+$B$25*(A470-$B$17),9))</f>
        <v/>
      </c>
      <c r="E470" s="16">
        <f>IF(A470="","",ROUND(D470-$B$15,9))</f>
        <v/>
      </c>
    </row>
    <row r="471">
      <c r="A471" s="16">
        <f>IF(OR(A470="",A470&gt;=$B$18),"",MIN($B$18,(FLOOR(A470/$B$19+0.000000001,1)+1)*$B$19))</f>
        <v/>
      </c>
      <c r="B471" s="17">
        <f>IF(A471="","",IF(A471&lt;0,"-","")&amp;INT(ABS(A471)/1000)&amp;"+"&amp;TEXT(MOD(ABS(A471),1000),"000.000"))</f>
        <v/>
      </c>
      <c r="C471" s="16">
        <f>IF(A471="","",A471-$B$17)</f>
        <v/>
      </c>
      <c r="D471" s="16">
        <f>IF(A471="","",ROUND($B$15+$B$25*(A471-$B$17),9))</f>
        <v/>
      </c>
      <c r="E471" s="16">
        <f>IF(A471="","",ROUND(D471-$B$15,9))</f>
        <v/>
      </c>
    </row>
    <row r="472">
      <c r="A472" s="16">
        <f>IF(OR(A471="",A471&gt;=$B$18),"",MIN($B$18,(FLOOR(A471/$B$19+0.000000001,1)+1)*$B$19))</f>
        <v/>
      </c>
      <c r="B472" s="17">
        <f>IF(A472="","",IF(A472&lt;0,"-","")&amp;INT(ABS(A472)/1000)&amp;"+"&amp;TEXT(MOD(ABS(A472),1000),"000.000"))</f>
        <v/>
      </c>
      <c r="C472" s="16">
        <f>IF(A472="","",A472-$B$17)</f>
        <v/>
      </c>
      <c r="D472" s="16">
        <f>IF(A472="","",ROUND($B$15+$B$25*(A472-$B$17),9))</f>
        <v/>
      </c>
      <c r="E472" s="16">
        <f>IF(A472="","",ROUND(D472-$B$15,9))</f>
        <v/>
      </c>
    </row>
    <row r="473">
      <c r="A473" s="16">
        <f>IF(OR(A472="",A472&gt;=$B$18),"",MIN($B$18,(FLOOR(A472/$B$19+0.000000001,1)+1)*$B$19))</f>
        <v/>
      </c>
      <c r="B473" s="17">
        <f>IF(A473="","",IF(A473&lt;0,"-","")&amp;INT(ABS(A473)/1000)&amp;"+"&amp;TEXT(MOD(ABS(A473),1000),"000.000"))</f>
        <v/>
      </c>
      <c r="C473" s="16">
        <f>IF(A473="","",A473-$B$17)</f>
        <v/>
      </c>
      <c r="D473" s="16">
        <f>IF(A473="","",ROUND($B$15+$B$25*(A473-$B$17),9))</f>
        <v/>
      </c>
      <c r="E473" s="16">
        <f>IF(A473="","",ROUND(D473-$B$15,9))</f>
        <v/>
      </c>
    </row>
    <row r="474">
      <c r="A474" s="16">
        <f>IF(OR(A473="",A473&gt;=$B$18),"",MIN($B$18,(FLOOR(A473/$B$19+0.000000001,1)+1)*$B$19))</f>
        <v/>
      </c>
      <c r="B474" s="17">
        <f>IF(A474="","",IF(A474&lt;0,"-","")&amp;INT(ABS(A474)/1000)&amp;"+"&amp;TEXT(MOD(ABS(A474),1000),"000.000"))</f>
        <v/>
      </c>
      <c r="C474" s="16">
        <f>IF(A474="","",A474-$B$17)</f>
        <v/>
      </c>
      <c r="D474" s="16">
        <f>IF(A474="","",ROUND($B$15+$B$25*(A474-$B$17),9))</f>
        <v/>
      </c>
      <c r="E474" s="16">
        <f>IF(A474="","",ROUND(D474-$B$15,9))</f>
        <v/>
      </c>
    </row>
    <row r="475">
      <c r="A475" s="16">
        <f>IF(OR(A474="",A474&gt;=$B$18),"",MIN($B$18,(FLOOR(A474/$B$19+0.000000001,1)+1)*$B$19))</f>
        <v/>
      </c>
      <c r="B475" s="17">
        <f>IF(A475="","",IF(A475&lt;0,"-","")&amp;INT(ABS(A475)/1000)&amp;"+"&amp;TEXT(MOD(ABS(A475),1000),"000.000"))</f>
        <v/>
      </c>
      <c r="C475" s="16">
        <f>IF(A475="","",A475-$B$17)</f>
        <v/>
      </c>
      <c r="D475" s="16">
        <f>IF(A475="","",ROUND($B$15+$B$25*(A475-$B$17),9))</f>
        <v/>
      </c>
      <c r="E475" s="16">
        <f>IF(A475="","",ROUND(D475-$B$15,9))</f>
        <v/>
      </c>
    </row>
    <row r="476">
      <c r="A476" s="16">
        <f>IF(OR(A475="",A475&gt;=$B$18),"",MIN($B$18,(FLOOR(A475/$B$19+0.000000001,1)+1)*$B$19))</f>
        <v/>
      </c>
      <c r="B476" s="17">
        <f>IF(A476="","",IF(A476&lt;0,"-","")&amp;INT(ABS(A476)/1000)&amp;"+"&amp;TEXT(MOD(ABS(A476),1000),"000.000"))</f>
        <v/>
      </c>
      <c r="C476" s="16">
        <f>IF(A476="","",A476-$B$17)</f>
        <v/>
      </c>
      <c r="D476" s="16">
        <f>IF(A476="","",ROUND($B$15+$B$25*(A476-$B$17),9))</f>
        <v/>
      </c>
      <c r="E476" s="16">
        <f>IF(A476="","",ROUND(D476-$B$15,9))</f>
        <v/>
      </c>
    </row>
    <row r="477">
      <c r="A477" s="16">
        <f>IF(OR(A476="",A476&gt;=$B$18),"",MIN($B$18,(FLOOR(A476/$B$19+0.000000001,1)+1)*$B$19))</f>
        <v/>
      </c>
      <c r="B477" s="17">
        <f>IF(A477="","",IF(A477&lt;0,"-","")&amp;INT(ABS(A477)/1000)&amp;"+"&amp;TEXT(MOD(ABS(A477),1000),"000.000"))</f>
        <v/>
      </c>
      <c r="C477" s="16">
        <f>IF(A477="","",A477-$B$17)</f>
        <v/>
      </c>
      <c r="D477" s="16">
        <f>IF(A477="","",ROUND($B$15+$B$25*(A477-$B$17),9))</f>
        <v/>
      </c>
      <c r="E477" s="16">
        <f>IF(A477="","",ROUND(D477-$B$15,9))</f>
        <v/>
      </c>
    </row>
    <row r="478">
      <c r="A478" s="16">
        <f>IF(OR(A477="",A477&gt;=$B$18),"",MIN($B$18,(FLOOR(A477/$B$19+0.000000001,1)+1)*$B$19))</f>
        <v/>
      </c>
      <c r="B478" s="17">
        <f>IF(A478="","",IF(A478&lt;0,"-","")&amp;INT(ABS(A478)/1000)&amp;"+"&amp;TEXT(MOD(ABS(A478),1000),"000.000"))</f>
        <v/>
      </c>
      <c r="C478" s="16">
        <f>IF(A478="","",A478-$B$17)</f>
        <v/>
      </c>
      <c r="D478" s="16">
        <f>IF(A478="","",ROUND($B$15+$B$25*(A478-$B$17),9))</f>
        <v/>
      </c>
      <c r="E478" s="16">
        <f>IF(A478="","",ROUND(D478-$B$15,9))</f>
        <v/>
      </c>
    </row>
    <row r="479">
      <c r="A479" s="16">
        <f>IF(OR(A478="",A478&gt;=$B$18),"",MIN($B$18,(FLOOR(A478/$B$19+0.000000001,1)+1)*$B$19))</f>
        <v/>
      </c>
      <c r="B479" s="17">
        <f>IF(A479="","",IF(A479&lt;0,"-","")&amp;INT(ABS(A479)/1000)&amp;"+"&amp;TEXT(MOD(ABS(A479),1000),"000.000"))</f>
        <v/>
      </c>
      <c r="C479" s="16">
        <f>IF(A479="","",A479-$B$17)</f>
        <v/>
      </c>
      <c r="D479" s="16">
        <f>IF(A479="","",ROUND($B$15+$B$25*(A479-$B$17),9))</f>
        <v/>
      </c>
      <c r="E479" s="16">
        <f>IF(A479="","",ROUND(D479-$B$15,9))</f>
        <v/>
      </c>
    </row>
    <row r="480">
      <c r="A480" s="16">
        <f>IF(OR(A479="",A479&gt;=$B$18),"",MIN($B$18,(FLOOR(A479/$B$19+0.000000001,1)+1)*$B$19))</f>
        <v/>
      </c>
      <c r="B480" s="17">
        <f>IF(A480="","",IF(A480&lt;0,"-","")&amp;INT(ABS(A480)/1000)&amp;"+"&amp;TEXT(MOD(ABS(A480),1000),"000.000"))</f>
        <v/>
      </c>
      <c r="C480" s="16">
        <f>IF(A480="","",A480-$B$17)</f>
        <v/>
      </c>
      <c r="D480" s="16">
        <f>IF(A480="","",ROUND($B$15+$B$25*(A480-$B$17),9))</f>
        <v/>
      </c>
      <c r="E480" s="16">
        <f>IF(A480="","",ROUND(D480-$B$15,9))</f>
        <v/>
      </c>
    </row>
    <row r="481">
      <c r="A481" s="16">
        <f>IF(OR(A480="",A480&gt;=$B$18),"",MIN($B$18,(FLOOR(A480/$B$19+0.000000001,1)+1)*$B$19))</f>
        <v/>
      </c>
      <c r="B481" s="17">
        <f>IF(A481="","",IF(A481&lt;0,"-","")&amp;INT(ABS(A481)/1000)&amp;"+"&amp;TEXT(MOD(ABS(A481),1000),"000.000"))</f>
        <v/>
      </c>
      <c r="C481" s="16">
        <f>IF(A481="","",A481-$B$17)</f>
        <v/>
      </c>
      <c r="D481" s="16">
        <f>IF(A481="","",ROUND($B$15+$B$25*(A481-$B$17),9))</f>
        <v/>
      </c>
      <c r="E481" s="16">
        <f>IF(A481="","",ROUND(D481-$B$15,9))</f>
        <v/>
      </c>
    </row>
    <row r="482">
      <c r="A482" s="16">
        <f>IF(OR(A481="",A481&gt;=$B$18),"",MIN($B$18,(FLOOR(A481/$B$19+0.000000001,1)+1)*$B$19))</f>
        <v/>
      </c>
      <c r="B482" s="17">
        <f>IF(A482="","",IF(A482&lt;0,"-","")&amp;INT(ABS(A482)/1000)&amp;"+"&amp;TEXT(MOD(ABS(A482),1000),"000.000"))</f>
        <v/>
      </c>
      <c r="C482" s="16">
        <f>IF(A482="","",A482-$B$17)</f>
        <v/>
      </c>
      <c r="D482" s="16">
        <f>IF(A482="","",ROUND($B$15+$B$25*(A482-$B$17),9))</f>
        <v/>
      </c>
      <c r="E482" s="16">
        <f>IF(A482="","",ROUND(D482-$B$15,9))</f>
        <v/>
      </c>
    </row>
    <row r="483">
      <c r="A483" s="16">
        <f>IF(OR(A482="",A482&gt;=$B$18),"",MIN($B$18,(FLOOR(A482/$B$19+0.000000001,1)+1)*$B$19))</f>
        <v/>
      </c>
      <c r="B483" s="17">
        <f>IF(A483="","",IF(A483&lt;0,"-","")&amp;INT(ABS(A483)/1000)&amp;"+"&amp;TEXT(MOD(ABS(A483),1000),"000.000"))</f>
        <v/>
      </c>
      <c r="C483" s="16">
        <f>IF(A483="","",A483-$B$17)</f>
        <v/>
      </c>
      <c r="D483" s="16">
        <f>IF(A483="","",ROUND($B$15+$B$25*(A483-$B$17),9))</f>
        <v/>
      </c>
      <c r="E483" s="16">
        <f>IF(A483="","",ROUND(D483-$B$15,9))</f>
        <v/>
      </c>
    </row>
    <row r="484">
      <c r="A484" s="16">
        <f>IF(OR(A483="",A483&gt;=$B$18),"",MIN($B$18,(FLOOR(A483/$B$19+0.000000001,1)+1)*$B$19))</f>
        <v/>
      </c>
      <c r="B484" s="17">
        <f>IF(A484="","",IF(A484&lt;0,"-","")&amp;INT(ABS(A484)/1000)&amp;"+"&amp;TEXT(MOD(ABS(A484),1000),"000.000"))</f>
        <v/>
      </c>
      <c r="C484" s="16">
        <f>IF(A484="","",A484-$B$17)</f>
        <v/>
      </c>
      <c r="D484" s="16">
        <f>IF(A484="","",ROUND($B$15+$B$25*(A484-$B$17),9))</f>
        <v/>
      </c>
      <c r="E484" s="16">
        <f>IF(A484="","",ROUND(D484-$B$15,9))</f>
        <v/>
      </c>
    </row>
    <row r="485">
      <c r="A485" s="16">
        <f>IF(OR(A484="",A484&gt;=$B$18),"",MIN($B$18,(FLOOR(A484/$B$19+0.000000001,1)+1)*$B$19))</f>
        <v/>
      </c>
      <c r="B485" s="17">
        <f>IF(A485="","",IF(A485&lt;0,"-","")&amp;INT(ABS(A485)/1000)&amp;"+"&amp;TEXT(MOD(ABS(A485),1000),"000.000"))</f>
        <v/>
      </c>
      <c r="C485" s="16">
        <f>IF(A485="","",A485-$B$17)</f>
        <v/>
      </c>
      <c r="D485" s="16">
        <f>IF(A485="","",ROUND($B$15+$B$25*(A485-$B$17),9))</f>
        <v/>
      </c>
      <c r="E485" s="16">
        <f>IF(A485="","",ROUND(D485-$B$15,9))</f>
        <v/>
      </c>
    </row>
    <row r="486">
      <c r="A486" s="16">
        <f>IF(OR(A485="",A485&gt;=$B$18),"",MIN($B$18,(FLOOR(A485/$B$19+0.000000001,1)+1)*$B$19))</f>
        <v/>
      </c>
      <c r="B486" s="17">
        <f>IF(A486="","",IF(A486&lt;0,"-","")&amp;INT(ABS(A486)/1000)&amp;"+"&amp;TEXT(MOD(ABS(A486),1000),"000.000"))</f>
        <v/>
      </c>
      <c r="C486" s="16">
        <f>IF(A486="","",A486-$B$17)</f>
        <v/>
      </c>
      <c r="D486" s="16">
        <f>IF(A486="","",ROUND($B$15+$B$25*(A486-$B$17),9))</f>
        <v/>
      </c>
      <c r="E486" s="16">
        <f>IF(A486="","",ROUND(D486-$B$15,9))</f>
        <v/>
      </c>
    </row>
    <row r="487">
      <c r="A487" s="16">
        <f>IF(OR(A486="",A486&gt;=$B$18),"",MIN($B$18,(FLOOR(A486/$B$19+0.000000001,1)+1)*$B$19))</f>
        <v/>
      </c>
      <c r="B487" s="17">
        <f>IF(A487="","",IF(A487&lt;0,"-","")&amp;INT(ABS(A487)/1000)&amp;"+"&amp;TEXT(MOD(ABS(A487),1000),"000.000"))</f>
        <v/>
      </c>
      <c r="C487" s="16">
        <f>IF(A487="","",A487-$B$17)</f>
        <v/>
      </c>
      <c r="D487" s="16">
        <f>IF(A487="","",ROUND($B$15+$B$25*(A487-$B$17),9))</f>
        <v/>
      </c>
      <c r="E487" s="16">
        <f>IF(A487="","",ROUND(D487-$B$15,9))</f>
        <v/>
      </c>
    </row>
    <row r="488">
      <c r="A488" s="16">
        <f>IF(OR(A487="",A487&gt;=$B$18),"",MIN($B$18,(FLOOR(A487/$B$19+0.000000001,1)+1)*$B$19))</f>
        <v/>
      </c>
      <c r="B488" s="17">
        <f>IF(A488="","",IF(A488&lt;0,"-","")&amp;INT(ABS(A488)/1000)&amp;"+"&amp;TEXT(MOD(ABS(A488),1000),"000.000"))</f>
        <v/>
      </c>
      <c r="C488" s="16">
        <f>IF(A488="","",A488-$B$17)</f>
        <v/>
      </c>
      <c r="D488" s="16">
        <f>IF(A488="","",ROUND($B$15+$B$25*(A488-$B$17),9))</f>
        <v/>
      </c>
      <c r="E488" s="16">
        <f>IF(A488="","",ROUND(D488-$B$15,9))</f>
        <v/>
      </c>
    </row>
    <row r="489">
      <c r="A489" s="16">
        <f>IF(OR(A488="",A488&gt;=$B$18),"",MIN($B$18,(FLOOR(A488/$B$19+0.000000001,1)+1)*$B$19))</f>
        <v/>
      </c>
      <c r="B489" s="17">
        <f>IF(A489="","",IF(A489&lt;0,"-","")&amp;INT(ABS(A489)/1000)&amp;"+"&amp;TEXT(MOD(ABS(A489),1000),"000.000"))</f>
        <v/>
      </c>
      <c r="C489" s="16">
        <f>IF(A489="","",A489-$B$17)</f>
        <v/>
      </c>
      <c r="D489" s="16">
        <f>IF(A489="","",ROUND($B$15+$B$25*(A489-$B$17),9))</f>
        <v/>
      </c>
      <c r="E489" s="16">
        <f>IF(A489="","",ROUND(D489-$B$15,9))</f>
        <v/>
      </c>
    </row>
    <row r="490">
      <c r="A490" s="16">
        <f>IF(OR(A489="",A489&gt;=$B$18),"",MIN($B$18,(FLOOR(A489/$B$19+0.000000001,1)+1)*$B$19))</f>
        <v/>
      </c>
      <c r="B490" s="17">
        <f>IF(A490="","",IF(A490&lt;0,"-","")&amp;INT(ABS(A490)/1000)&amp;"+"&amp;TEXT(MOD(ABS(A490),1000),"000.000"))</f>
        <v/>
      </c>
      <c r="C490" s="16">
        <f>IF(A490="","",A490-$B$17)</f>
        <v/>
      </c>
      <c r="D490" s="16">
        <f>IF(A490="","",ROUND($B$15+$B$25*(A490-$B$17),9))</f>
        <v/>
      </c>
      <c r="E490" s="16">
        <f>IF(A490="","",ROUND(D490-$B$15,9))</f>
        <v/>
      </c>
    </row>
    <row r="491">
      <c r="A491" s="16">
        <f>IF(OR(A490="",A490&gt;=$B$18),"",MIN($B$18,(FLOOR(A490/$B$19+0.000000001,1)+1)*$B$19))</f>
        <v/>
      </c>
      <c r="B491" s="17">
        <f>IF(A491="","",IF(A491&lt;0,"-","")&amp;INT(ABS(A491)/1000)&amp;"+"&amp;TEXT(MOD(ABS(A491),1000),"000.000"))</f>
        <v/>
      </c>
      <c r="C491" s="16">
        <f>IF(A491="","",A491-$B$17)</f>
        <v/>
      </c>
      <c r="D491" s="16">
        <f>IF(A491="","",ROUND($B$15+$B$25*(A491-$B$17),9))</f>
        <v/>
      </c>
      <c r="E491" s="16">
        <f>IF(A491="","",ROUND(D491-$B$15,9))</f>
        <v/>
      </c>
    </row>
    <row r="492">
      <c r="A492" s="16">
        <f>IF(OR(A491="",A491&gt;=$B$18),"",MIN($B$18,(FLOOR(A491/$B$19+0.000000001,1)+1)*$B$19))</f>
        <v/>
      </c>
      <c r="B492" s="17">
        <f>IF(A492="","",IF(A492&lt;0,"-","")&amp;INT(ABS(A492)/1000)&amp;"+"&amp;TEXT(MOD(ABS(A492),1000),"000.000"))</f>
        <v/>
      </c>
      <c r="C492" s="16">
        <f>IF(A492="","",A492-$B$17)</f>
        <v/>
      </c>
      <c r="D492" s="16">
        <f>IF(A492="","",ROUND($B$15+$B$25*(A492-$B$17),9))</f>
        <v/>
      </c>
      <c r="E492" s="16">
        <f>IF(A492="","",ROUND(D492-$B$15,9))</f>
        <v/>
      </c>
    </row>
    <row r="493">
      <c r="A493" s="16">
        <f>IF(OR(A492="",A492&gt;=$B$18),"",MIN($B$18,(FLOOR(A492/$B$19+0.000000001,1)+1)*$B$19))</f>
        <v/>
      </c>
      <c r="B493" s="17">
        <f>IF(A493="","",IF(A493&lt;0,"-","")&amp;INT(ABS(A493)/1000)&amp;"+"&amp;TEXT(MOD(ABS(A493),1000),"000.000"))</f>
        <v/>
      </c>
      <c r="C493" s="16">
        <f>IF(A493="","",A493-$B$17)</f>
        <v/>
      </c>
      <c r="D493" s="16">
        <f>IF(A493="","",ROUND($B$15+$B$25*(A493-$B$17),9))</f>
        <v/>
      </c>
      <c r="E493" s="16">
        <f>IF(A493="","",ROUND(D493-$B$15,9))</f>
        <v/>
      </c>
    </row>
    <row r="494">
      <c r="A494" s="16">
        <f>IF(OR(A493="",A493&gt;=$B$18),"",MIN($B$18,(FLOOR(A493/$B$19+0.000000001,1)+1)*$B$19))</f>
        <v/>
      </c>
      <c r="B494" s="17">
        <f>IF(A494="","",IF(A494&lt;0,"-","")&amp;INT(ABS(A494)/1000)&amp;"+"&amp;TEXT(MOD(ABS(A494),1000),"000.000"))</f>
        <v/>
      </c>
      <c r="C494" s="16">
        <f>IF(A494="","",A494-$B$17)</f>
        <v/>
      </c>
      <c r="D494" s="16">
        <f>IF(A494="","",ROUND($B$15+$B$25*(A494-$B$17),9))</f>
        <v/>
      </c>
      <c r="E494" s="16">
        <f>IF(A494="","",ROUND(D494-$B$15,9))</f>
        <v/>
      </c>
    </row>
    <row r="495">
      <c r="A495" s="16">
        <f>IF(OR(A494="",A494&gt;=$B$18),"",MIN($B$18,(FLOOR(A494/$B$19+0.000000001,1)+1)*$B$19))</f>
        <v/>
      </c>
      <c r="B495" s="17">
        <f>IF(A495="","",IF(A495&lt;0,"-","")&amp;INT(ABS(A495)/1000)&amp;"+"&amp;TEXT(MOD(ABS(A495),1000),"000.000"))</f>
        <v/>
      </c>
      <c r="C495" s="16">
        <f>IF(A495="","",A495-$B$17)</f>
        <v/>
      </c>
      <c r="D495" s="16">
        <f>IF(A495="","",ROUND($B$15+$B$25*(A495-$B$17),9))</f>
        <v/>
      </c>
      <c r="E495" s="16">
        <f>IF(A495="","",ROUND(D495-$B$15,9))</f>
        <v/>
      </c>
    </row>
    <row r="496">
      <c r="A496" s="16">
        <f>IF(OR(A495="",A495&gt;=$B$18),"",MIN($B$18,(FLOOR(A495/$B$19+0.000000001,1)+1)*$B$19))</f>
        <v/>
      </c>
      <c r="B496" s="17">
        <f>IF(A496="","",IF(A496&lt;0,"-","")&amp;INT(ABS(A496)/1000)&amp;"+"&amp;TEXT(MOD(ABS(A496),1000),"000.000"))</f>
        <v/>
      </c>
      <c r="C496" s="16">
        <f>IF(A496="","",A496-$B$17)</f>
        <v/>
      </c>
      <c r="D496" s="16">
        <f>IF(A496="","",ROUND($B$15+$B$25*(A496-$B$17),9))</f>
        <v/>
      </c>
      <c r="E496" s="16">
        <f>IF(A496="","",ROUND(D496-$B$15,9))</f>
        <v/>
      </c>
    </row>
    <row r="497">
      <c r="A497" s="16">
        <f>IF(OR(A496="",A496&gt;=$B$18),"",MIN($B$18,(FLOOR(A496/$B$19+0.000000001,1)+1)*$B$19))</f>
        <v/>
      </c>
      <c r="B497" s="17">
        <f>IF(A497="","",IF(A497&lt;0,"-","")&amp;INT(ABS(A497)/1000)&amp;"+"&amp;TEXT(MOD(ABS(A497),1000),"000.000"))</f>
        <v/>
      </c>
      <c r="C497" s="16">
        <f>IF(A497="","",A497-$B$17)</f>
        <v/>
      </c>
      <c r="D497" s="16">
        <f>IF(A497="","",ROUND($B$15+$B$25*(A497-$B$17),9))</f>
        <v/>
      </c>
      <c r="E497" s="16">
        <f>IF(A497="","",ROUND(D497-$B$15,9))</f>
        <v/>
      </c>
    </row>
    <row r="498">
      <c r="A498" s="16">
        <f>IF(OR(A497="",A497&gt;=$B$18),"",MIN($B$18,(FLOOR(A497/$B$19+0.000000001,1)+1)*$B$19))</f>
        <v/>
      </c>
      <c r="B498" s="17">
        <f>IF(A498="","",IF(A498&lt;0,"-","")&amp;INT(ABS(A498)/1000)&amp;"+"&amp;TEXT(MOD(ABS(A498),1000),"000.000"))</f>
        <v/>
      </c>
      <c r="C498" s="16">
        <f>IF(A498="","",A498-$B$17)</f>
        <v/>
      </c>
      <c r="D498" s="16">
        <f>IF(A498="","",ROUND($B$15+$B$25*(A498-$B$17),9))</f>
        <v/>
      </c>
      <c r="E498" s="16">
        <f>IF(A498="","",ROUND(D498-$B$15,9))</f>
        <v/>
      </c>
    </row>
    <row r="499">
      <c r="A499" s="16">
        <f>IF(OR(A498="",A498&gt;=$B$18),"",MIN($B$18,(FLOOR(A498/$B$19+0.000000001,1)+1)*$B$19))</f>
        <v/>
      </c>
      <c r="B499" s="17">
        <f>IF(A499="","",IF(A499&lt;0,"-","")&amp;INT(ABS(A499)/1000)&amp;"+"&amp;TEXT(MOD(ABS(A499),1000),"000.000"))</f>
        <v/>
      </c>
      <c r="C499" s="16">
        <f>IF(A499="","",A499-$B$17)</f>
        <v/>
      </c>
      <c r="D499" s="16">
        <f>IF(A499="","",ROUND($B$15+$B$25*(A499-$B$17),9))</f>
        <v/>
      </c>
      <c r="E499" s="16">
        <f>IF(A499="","",ROUND(D499-$B$15,9))</f>
        <v/>
      </c>
    </row>
    <row r="500">
      <c r="A500" s="16">
        <f>IF(OR(A499="",A499&gt;=$B$18),"",MIN($B$18,(FLOOR(A499/$B$19+0.000000001,1)+1)*$B$19))</f>
        <v/>
      </c>
      <c r="B500" s="17">
        <f>IF(A500="","",IF(A500&lt;0,"-","")&amp;INT(ABS(A500)/1000)&amp;"+"&amp;TEXT(MOD(ABS(A500),1000),"000.000"))</f>
        <v/>
      </c>
      <c r="C500" s="16">
        <f>IF(A500="","",A500-$B$17)</f>
        <v/>
      </c>
      <c r="D500" s="16">
        <f>IF(A500="","",ROUND($B$15+$B$25*(A500-$B$17),9))</f>
        <v/>
      </c>
      <c r="E500" s="16">
        <f>IF(A500="","",ROUND(D500-$B$15,9))</f>
        <v/>
      </c>
    </row>
    <row r="501">
      <c r="A501" s="16">
        <f>IF(OR(A500="",A500&gt;=$B$18),"",MIN($B$18,(FLOOR(A500/$B$19+0.000000001,1)+1)*$B$19))</f>
        <v/>
      </c>
      <c r="B501" s="17">
        <f>IF(A501="","",IF(A501&lt;0,"-","")&amp;INT(ABS(A501)/1000)&amp;"+"&amp;TEXT(MOD(ABS(A501),1000),"000.000"))</f>
        <v/>
      </c>
      <c r="C501" s="16">
        <f>IF(A501="","",A501-$B$17)</f>
        <v/>
      </c>
      <c r="D501" s="16">
        <f>IF(A501="","",ROUND($B$15+$B$25*(A501-$B$17),9))</f>
        <v/>
      </c>
      <c r="E501" s="16">
        <f>IF(A501="","",ROUND(D501-$B$15,9))</f>
        <v/>
      </c>
    </row>
    <row r="502">
      <c r="A502" s="16">
        <f>IF(OR(A501="",A501&gt;=$B$18),"",MIN($B$18,(FLOOR(A501/$B$19+0.000000001,1)+1)*$B$19))</f>
        <v/>
      </c>
      <c r="B502" s="17">
        <f>IF(A502="","",IF(A502&lt;0,"-","")&amp;INT(ABS(A502)/1000)&amp;"+"&amp;TEXT(MOD(ABS(A502),1000),"000.000"))</f>
        <v/>
      </c>
      <c r="C502" s="16">
        <f>IF(A502="","",A502-$B$17)</f>
        <v/>
      </c>
      <c r="D502" s="16">
        <f>IF(A502="","",ROUND($B$15+$B$25*(A502-$B$17),9))</f>
        <v/>
      </c>
      <c r="E502" s="16">
        <f>IF(A502="","",ROUND(D502-$B$15,9))</f>
        <v/>
      </c>
    </row>
    <row r="503">
      <c r="A503" s="16">
        <f>IF(OR(A502="",A502&gt;=$B$18),"",MIN($B$18,(FLOOR(A502/$B$19+0.000000001,1)+1)*$B$19))</f>
        <v/>
      </c>
      <c r="B503" s="17">
        <f>IF(A503="","",IF(A503&lt;0,"-","")&amp;INT(ABS(A503)/1000)&amp;"+"&amp;TEXT(MOD(ABS(A503),1000),"000.000"))</f>
        <v/>
      </c>
      <c r="C503" s="16">
        <f>IF(A503="","",A503-$B$17)</f>
        <v/>
      </c>
      <c r="D503" s="16">
        <f>IF(A503="","",ROUND($B$15+$B$25*(A503-$B$17),9))</f>
        <v/>
      </c>
      <c r="E503" s="16">
        <f>IF(A503="","",ROUND(D503-$B$15,9))</f>
        <v/>
      </c>
    </row>
    <row r="504">
      <c r="A504" s="16">
        <f>IF(OR(A503="",A503&gt;=$B$18),"",MIN($B$18,(FLOOR(A503/$B$19+0.000000001,1)+1)*$B$19))</f>
        <v/>
      </c>
      <c r="B504" s="17">
        <f>IF(A504="","",IF(A504&lt;0,"-","")&amp;INT(ABS(A504)/1000)&amp;"+"&amp;TEXT(MOD(ABS(A504),1000),"000.000"))</f>
        <v/>
      </c>
      <c r="C504" s="16">
        <f>IF(A504="","",A504-$B$17)</f>
        <v/>
      </c>
      <c r="D504" s="16">
        <f>IF(A504="","",ROUND($B$15+$B$25*(A504-$B$17),9))</f>
        <v/>
      </c>
      <c r="E504" s="16">
        <f>IF(A504="","",ROUND(D504-$B$15,9))</f>
        <v/>
      </c>
    </row>
    <row r="505">
      <c r="A505" s="16">
        <f>IF(OR(A504="",A504&gt;=$B$18),"",MIN($B$18,(FLOOR(A504/$B$19+0.000000001,1)+1)*$B$19))</f>
        <v/>
      </c>
      <c r="B505" s="17">
        <f>IF(A505="","",IF(A505&lt;0,"-","")&amp;INT(ABS(A505)/1000)&amp;"+"&amp;TEXT(MOD(ABS(A505),1000),"000.000"))</f>
        <v/>
      </c>
      <c r="C505" s="16">
        <f>IF(A505="","",A505-$B$17)</f>
        <v/>
      </c>
      <c r="D505" s="16">
        <f>IF(A505="","",ROUND($B$15+$B$25*(A505-$B$17),9))</f>
        <v/>
      </c>
      <c r="E505" s="16">
        <f>IF(A505="","",ROUND(D505-$B$15,9))</f>
        <v/>
      </c>
    </row>
    <row r="506">
      <c r="A506" s="16">
        <f>IF(OR(A505="",A505&gt;=$B$18),"",MIN($B$18,(FLOOR(A505/$B$19+0.000000001,1)+1)*$B$19))</f>
        <v/>
      </c>
      <c r="B506" s="17">
        <f>IF(A506="","",IF(A506&lt;0,"-","")&amp;INT(ABS(A506)/1000)&amp;"+"&amp;TEXT(MOD(ABS(A506),1000),"000.000"))</f>
        <v/>
      </c>
      <c r="C506" s="16">
        <f>IF(A506="","",A506-$B$17)</f>
        <v/>
      </c>
      <c r="D506" s="16">
        <f>IF(A506="","",ROUND($B$15+$B$25*(A506-$B$17),9))</f>
        <v/>
      </c>
      <c r="E506" s="16">
        <f>IF(A506="","",ROUND(D506-$B$15,9))</f>
        <v/>
      </c>
    </row>
    <row r="507">
      <c r="A507" s="16">
        <f>IF(OR(A506="",A506&gt;=$B$18),"",MIN($B$18,(FLOOR(A506/$B$19+0.000000001,1)+1)*$B$19))</f>
        <v/>
      </c>
      <c r="B507" s="17">
        <f>IF(A507="","",IF(A507&lt;0,"-","")&amp;INT(ABS(A507)/1000)&amp;"+"&amp;TEXT(MOD(ABS(A507),1000),"000.000"))</f>
        <v/>
      </c>
      <c r="C507" s="16">
        <f>IF(A507="","",A507-$B$17)</f>
        <v/>
      </c>
      <c r="D507" s="16">
        <f>IF(A507="","",ROUND($B$15+$B$25*(A507-$B$17),9))</f>
        <v/>
      </c>
      <c r="E507" s="16">
        <f>IF(A507="","",ROUND(D507-$B$15,9))</f>
        <v/>
      </c>
    </row>
    <row r="508">
      <c r="A508" s="16">
        <f>IF(OR(A507="",A507&gt;=$B$18),"",MIN($B$18,(FLOOR(A507/$B$19+0.000000001,1)+1)*$B$19))</f>
        <v/>
      </c>
      <c r="B508" s="17">
        <f>IF(A508="","",IF(A508&lt;0,"-","")&amp;INT(ABS(A508)/1000)&amp;"+"&amp;TEXT(MOD(ABS(A508),1000),"000.000"))</f>
        <v/>
      </c>
      <c r="C508" s="16">
        <f>IF(A508="","",A508-$B$17)</f>
        <v/>
      </c>
      <c r="D508" s="16">
        <f>IF(A508="","",ROUND($B$15+$B$25*(A508-$B$17),9))</f>
        <v/>
      </c>
      <c r="E508" s="16">
        <f>IF(A508="","",ROUND(D508-$B$15,9))</f>
        <v/>
      </c>
    </row>
    <row r="509">
      <c r="A509" s="16">
        <f>IF(OR(A508="",A508&gt;=$B$18),"",MIN($B$18,(FLOOR(A508/$B$19+0.000000001,1)+1)*$B$19))</f>
        <v/>
      </c>
      <c r="B509" s="17">
        <f>IF(A509="","",IF(A509&lt;0,"-","")&amp;INT(ABS(A509)/1000)&amp;"+"&amp;TEXT(MOD(ABS(A509),1000),"000.000"))</f>
        <v/>
      </c>
      <c r="C509" s="16">
        <f>IF(A509="","",A509-$B$17)</f>
        <v/>
      </c>
      <c r="D509" s="16">
        <f>IF(A509="","",ROUND($B$15+$B$25*(A509-$B$17),9))</f>
        <v/>
      </c>
      <c r="E509" s="16">
        <f>IF(A509="","",ROUND(D509-$B$15,9))</f>
        <v/>
      </c>
    </row>
    <row r="510">
      <c r="A510" s="16">
        <f>IF(OR(A509="",A509&gt;=$B$18),"",MIN($B$18,(FLOOR(A509/$B$19+0.000000001,1)+1)*$B$19))</f>
        <v/>
      </c>
      <c r="B510" s="17">
        <f>IF(A510="","",IF(A510&lt;0,"-","")&amp;INT(ABS(A510)/1000)&amp;"+"&amp;TEXT(MOD(ABS(A510),1000),"000.000"))</f>
        <v/>
      </c>
      <c r="C510" s="16">
        <f>IF(A510="","",A510-$B$17)</f>
        <v/>
      </c>
      <c r="D510" s="16">
        <f>IF(A510="","",ROUND($B$15+$B$25*(A510-$B$17),9))</f>
        <v/>
      </c>
      <c r="E510" s="16">
        <f>IF(A510="","",ROUND(D510-$B$15,9))</f>
        <v/>
      </c>
    </row>
    <row r="511">
      <c r="A511" s="16">
        <f>IF(OR(A510="",A510&gt;=$B$18),"",MIN($B$18,(FLOOR(A510/$B$19+0.000000001,1)+1)*$B$19))</f>
        <v/>
      </c>
      <c r="B511" s="17">
        <f>IF(A511="","",IF(A511&lt;0,"-","")&amp;INT(ABS(A511)/1000)&amp;"+"&amp;TEXT(MOD(ABS(A511),1000),"000.000"))</f>
        <v/>
      </c>
      <c r="C511" s="16">
        <f>IF(A511="","",A511-$B$17)</f>
        <v/>
      </c>
      <c r="D511" s="16">
        <f>IF(A511="","",ROUND($B$15+$B$25*(A511-$B$17),9))</f>
        <v/>
      </c>
      <c r="E511" s="16">
        <f>IF(A511="","",ROUND(D511-$B$15,9))</f>
        <v/>
      </c>
    </row>
    <row r="512">
      <c r="A512" s="16">
        <f>IF(OR(A511="",A511&gt;=$B$18),"",MIN($B$18,(FLOOR(A511/$B$19+0.000000001,1)+1)*$B$19))</f>
        <v/>
      </c>
      <c r="B512" s="17">
        <f>IF(A512="","",IF(A512&lt;0,"-","")&amp;INT(ABS(A512)/1000)&amp;"+"&amp;TEXT(MOD(ABS(A512),1000),"000.000"))</f>
        <v/>
      </c>
      <c r="C512" s="16">
        <f>IF(A512="","",A512-$B$17)</f>
        <v/>
      </c>
      <c r="D512" s="16">
        <f>IF(A512="","",ROUND($B$15+$B$25*(A512-$B$17),9))</f>
        <v/>
      </c>
      <c r="E512" s="16">
        <f>IF(A512="","",ROUND(D512-$B$15,9))</f>
        <v/>
      </c>
    </row>
    <row r="513">
      <c r="A513" s="16">
        <f>IF(OR(A512="",A512&gt;=$B$18),"",MIN($B$18,(FLOOR(A512/$B$19+0.000000001,1)+1)*$B$19))</f>
        <v/>
      </c>
      <c r="B513" s="17">
        <f>IF(A513="","",IF(A513&lt;0,"-","")&amp;INT(ABS(A513)/1000)&amp;"+"&amp;TEXT(MOD(ABS(A513),1000),"000.000"))</f>
        <v/>
      </c>
      <c r="C513" s="16">
        <f>IF(A513="","",A513-$B$17)</f>
        <v/>
      </c>
      <c r="D513" s="16">
        <f>IF(A513="","",ROUND($B$15+$B$25*(A513-$B$17),9))</f>
        <v/>
      </c>
      <c r="E513" s="16">
        <f>IF(A513="","",ROUND(D513-$B$15,9))</f>
        <v/>
      </c>
    </row>
    <row r="514">
      <c r="A514" s="16">
        <f>IF(OR(A513="",A513&gt;=$B$18),"",MIN($B$18,(FLOOR(A513/$B$19+0.000000001,1)+1)*$B$19))</f>
        <v/>
      </c>
      <c r="B514" s="17">
        <f>IF(A514="","",IF(A514&lt;0,"-","")&amp;INT(ABS(A514)/1000)&amp;"+"&amp;TEXT(MOD(ABS(A514),1000),"000.000"))</f>
        <v/>
      </c>
      <c r="C514" s="16">
        <f>IF(A514="","",A514-$B$17)</f>
        <v/>
      </c>
      <c r="D514" s="16">
        <f>IF(A514="","",ROUND($B$15+$B$25*(A514-$B$17),9))</f>
        <v/>
      </c>
      <c r="E514" s="16">
        <f>IF(A514="","",ROUND(D514-$B$15,9))</f>
        <v/>
      </c>
    </row>
    <row r="515">
      <c r="A515" s="16">
        <f>IF(OR(A514="",A514&gt;=$B$18),"",MIN($B$18,(FLOOR(A514/$B$19+0.000000001,1)+1)*$B$19))</f>
        <v/>
      </c>
      <c r="B515" s="17">
        <f>IF(A515="","",IF(A515&lt;0,"-","")&amp;INT(ABS(A515)/1000)&amp;"+"&amp;TEXT(MOD(ABS(A515),1000),"000.000"))</f>
        <v/>
      </c>
      <c r="C515" s="16">
        <f>IF(A515="","",A515-$B$17)</f>
        <v/>
      </c>
      <c r="D515" s="16">
        <f>IF(A515="","",ROUND($B$15+$B$25*(A515-$B$17),9))</f>
        <v/>
      </c>
      <c r="E515" s="16">
        <f>IF(A515="","",ROUND(D515-$B$15,9))</f>
        <v/>
      </c>
    </row>
    <row r="516">
      <c r="A516" s="16">
        <f>IF(OR(A515="",A515&gt;=$B$18),"",MIN($B$18,(FLOOR(A515/$B$19+0.000000001,1)+1)*$B$19))</f>
        <v/>
      </c>
      <c r="B516" s="17">
        <f>IF(A516="","",IF(A516&lt;0,"-","")&amp;INT(ABS(A516)/1000)&amp;"+"&amp;TEXT(MOD(ABS(A516),1000),"000.000"))</f>
        <v/>
      </c>
      <c r="C516" s="16">
        <f>IF(A516="","",A516-$B$17)</f>
        <v/>
      </c>
      <c r="D516" s="16">
        <f>IF(A516="","",ROUND($B$15+$B$25*(A516-$B$17),9))</f>
        <v/>
      </c>
      <c r="E516" s="16">
        <f>IF(A516="","",ROUND(D516-$B$15,9))</f>
        <v/>
      </c>
    </row>
    <row r="517">
      <c r="A517" s="16">
        <f>IF(OR(A516="",A516&gt;=$B$18),"",MIN($B$18,(FLOOR(A516/$B$19+0.000000001,1)+1)*$B$19))</f>
        <v/>
      </c>
      <c r="B517" s="17">
        <f>IF(A517="","",IF(A517&lt;0,"-","")&amp;INT(ABS(A517)/1000)&amp;"+"&amp;TEXT(MOD(ABS(A517),1000),"000.000"))</f>
        <v/>
      </c>
      <c r="C517" s="16">
        <f>IF(A517="","",A517-$B$17)</f>
        <v/>
      </c>
      <c r="D517" s="16">
        <f>IF(A517="","",ROUND($B$15+$B$25*(A517-$B$17),9))</f>
        <v/>
      </c>
      <c r="E517" s="16">
        <f>IF(A517="","",ROUND(D517-$B$15,9))</f>
        <v/>
      </c>
    </row>
    <row r="518">
      <c r="A518" s="16">
        <f>IF(OR(A517="",A517&gt;=$B$18),"",MIN($B$18,(FLOOR(A517/$B$19+0.000000001,1)+1)*$B$19))</f>
        <v/>
      </c>
      <c r="B518" s="17">
        <f>IF(A518="","",IF(A518&lt;0,"-","")&amp;INT(ABS(A518)/1000)&amp;"+"&amp;TEXT(MOD(ABS(A518),1000),"000.000"))</f>
        <v/>
      </c>
      <c r="C518" s="16">
        <f>IF(A518="","",A518-$B$17)</f>
        <v/>
      </c>
      <c r="D518" s="16">
        <f>IF(A518="","",ROUND($B$15+$B$25*(A518-$B$17),9))</f>
        <v/>
      </c>
      <c r="E518" s="16">
        <f>IF(A518="","",ROUND(D518-$B$15,9))</f>
        <v/>
      </c>
    </row>
    <row r="519">
      <c r="A519" s="16">
        <f>IF(OR(A518="",A518&gt;=$B$18),"",MIN($B$18,(FLOOR(A518/$B$19+0.000000001,1)+1)*$B$19))</f>
        <v/>
      </c>
      <c r="B519" s="17">
        <f>IF(A519="","",IF(A519&lt;0,"-","")&amp;INT(ABS(A519)/1000)&amp;"+"&amp;TEXT(MOD(ABS(A519),1000),"000.000"))</f>
        <v/>
      </c>
      <c r="C519" s="16">
        <f>IF(A519="","",A519-$B$17)</f>
        <v/>
      </c>
      <c r="D519" s="16">
        <f>IF(A519="","",ROUND($B$15+$B$25*(A519-$B$17),9))</f>
        <v/>
      </c>
      <c r="E519" s="16">
        <f>IF(A519="","",ROUND(D519-$B$15,9))</f>
        <v/>
      </c>
    </row>
    <row r="520">
      <c r="A520" s="16">
        <f>IF(OR(A519="",A519&gt;=$B$18),"",MIN($B$18,(FLOOR(A519/$B$19+0.000000001,1)+1)*$B$19))</f>
        <v/>
      </c>
      <c r="B520" s="17">
        <f>IF(A520="","",IF(A520&lt;0,"-","")&amp;INT(ABS(A520)/1000)&amp;"+"&amp;TEXT(MOD(ABS(A520),1000),"000.000"))</f>
        <v/>
      </c>
      <c r="C520" s="16">
        <f>IF(A520="","",A520-$B$17)</f>
        <v/>
      </c>
      <c r="D520" s="16">
        <f>IF(A520="","",ROUND($B$15+$B$25*(A520-$B$17),9))</f>
        <v/>
      </c>
      <c r="E520" s="16">
        <f>IF(A520="","",ROUND(D520-$B$15,9))</f>
        <v/>
      </c>
    </row>
    <row r="521">
      <c r="A521" s="16">
        <f>IF(OR(A520="",A520&gt;=$B$18),"",MIN($B$18,(FLOOR(A520/$B$19+0.000000001,1)+1)*$B$19))</f>
        <v/>
      </c>
      <c r="B521" s="17">
        <f>IF(A521="","",IF(A521&lt;0,"-","")&amp;INT(ABS(A521)/1000)&amp;"+"&amp;TEXT(MOD(ABS(A521),1000),"000.000"))</f>
        <v/>
      </c>
      <c r="C521" s="16">
        <f>IF(A521="","",A521-$B$17)</f>
        <v/>
      </c>
      <c r="D521" s="16">
        <f>IF(A521="","",ROUND($B$15+$B$25*(A521-$B$17),9))</f>
        <v/>
      </c>
      <c r="E521" s="16">
        <f>IF(A521="","",ROUND(D521-$B$15,9))</f>
        <v/>
      </c>
    </row>
    <row r="522">
      <c r="A522" s="16">
        <f>IF(OR(A521="",A521&gt;=$B$18),"",MIN($B$18,(FLOOR(A521/$B$19+0.000000001,1)+1)*$B$19))</f>
        <v/>
      </c>
      <c r="B522" s="17">
        <f>IF(A522="","",IF(A522&lt;0,"-","")&amp;INT(ABS(A522)/1000)&amp;"+"&amp;TEXT(MOD(ABS(A522),1000),"000.000"))</f>
        <v/>
      </c>
      <c r="C522" s="16">
        <f>IF(A522="","",A522-$B$17)</f>
        <v/>
      </c>
      <c r="D522" s="16">
        <f>IF(A522="","",ROUND($B$15+$B$25*(A522-$B$17),9))</f>
        <v/>
      </c>
      <c r="E522" s="16">
        <f>IF(A522="","",ROUND(D522-$B$15,9))</f>
        <v/>
      </c>
    </row>
    <row r="523">
      <c r="A523" s="16">
        <f>IF(OR(A522="",A522&gt;=$B$18),"",MIN($B$18,(FLOOR(A522/$B$19+0.000000001,1)+1)*$B$19))</f>
        <v/>
      </c>
      <c r="B523" s="17">
        <f>IF(A523="","",IF(A523&lt;0,"-","")&amp;INT(ABS(A523)/1000)&amp;"+"&amp;TEXT(MOD(ABS(A523),1000),"000.000"))</f>
        <v/>
      </c>
      <c r="C523" s="16">
        <f>IF(A523="","",A523-$B$17)</f>
        <v/>
      </c>
      <c r="D523" s="16">
        <f>IF(A523="","",ROUND($B$15+$B$25*(A523-$B$17),9))</f>
        <v/>
      </c>
      <c r="E523" s="16">
        <f>IF(A523="","",ROUND(D523-$B$15,9))</f>
        <v/>
      </c>
    </row>
    <row r="524">
      <c r="A524" s="16">
        <f>IF(OR(A523="",A523&gt;=$B$18),"",MIN($B$18,(FLOOR(A523/$B$19+0.000000001,1)+1)*$B$19))</f>
        <v/>
      </c>
      <c r="B524" s="17">
        <f>IF(A524="","",IF(A524&lt;0,"-","")&amp;INT(ABS(A524)/1000)&amp;"+"&amp;TEXT(MOD(ABS(A524),1000),"000.000"))</f>
        <v/>
      </c>
      <c r="C524" s="16">
        <f>IF(A524="","",A524-$B$17)</f>
        <v/>
      </c>
      <c r="D524" s="16">
        <f>IF(A524="","",ROUND($B$15+$B$25*(A524-$B$17),9))</f>
        <v/>
      </c>
      <c r="E524" s="16">
        <f>IF(A524="","",ROUND(D524-$B$15,9))</f>
        <v/>
      </c>
    </row>
    <row r="525">
      <c r="A525" s="16">
        <f>IF(OR(A524="",A524&gt;=$B$18),"",MIN($B$18,(FLOOR(A524/$B$19+0.000000001,1)+1)*$B$19))</f>
        <v/>
      </c>
      <c r="B525" s="17">
        <f>IF(A525="","",IF(A525&lt;0,"-","")&amp;INT(ABS(A525)/1000)&amp;"+"&amp;TEXT(MOD(ABS(A525),1000),"000.000"))</f>
        <v/>
      </c>
      <c r="C525" s="16">
        <f>IF(A525="","",A525-$B$17)</f>
        <v/>
      </c>
      <c r="D525" s="16">
        <f>IF(A525="","",ROUND($B$15+$B$25*(A525-$B$17),9))</f>
        <v/>
      </c>
      <c r="E525" s="16">
        <f>IF(A525="","",ROUND(D525-$B$15,9))</f>
        <v/>
      </c>
    </row>
    <row r="526">
      <c r="A526" s="16">
        <f>IF(OR(A525="",A525&gt;=$B$18),"",MIN($B$18,(FLOOR(A525/$B$19+0.000000001,1)+1)*$B$19))</f>
        <v/>
      </c>
      <c r="B526" s="17">
        <f>IF(A526="","",IF(A526&lt;0,"-","")&amp;INT(ABS(A526)/1000)&amp;"+"&amp;TEXT(MOD(ABS(A526),1000),"000.000"))</f>
        <v/>
      </c>
      <c r="C526" s="16">
        <f>IF(A526="","",A526-$B$17)</f>
        <v/>
      </c>
      <c r="D526" s="16">
        <f>IF(A526="","",ROUND($B$15+$B$25*(A526-$B$17),9))</f>
        <v/>
      </c>
      <c r="E526" s="16">
        <f>IF(A526="","",ROUND(D526-$B$15,9))</f>
        <v/>
      </c>
    </row>
    <row r="527">
      <c r="A527" s="16">
        <f>IF(OR(A526="",A526&gt;=$B$18),"",MIN($B$18,(FLOOR(A526/$B$19+0.000000001,1)+1)*$B$19))</f>
        <v/>
      </c>
      <c r="B527" s="17">
        <f>IF(A527="","",IF(A527&lt;0,"-","")&amp;INT(ABS(A527)/1000)&amp;"+"&amp;TEXT(MOD(ABS(A527),1000),"000.000"))</f>
        <v/>
      </c>
      <c r="C527" s="16">
        <f>IF(A527="","",A527-$B$17)</f>
        <v/>
      </c>
      <c r="D527" s="16">
        <f>IF(A527="","",ROUND($B$15+$B$25*(A527-$B$17),9))</f>
        <v/>
      </c>
      <c r="E527" s="16">
        <f>IF(A527="","",ROUND(D527-$B$15,9))</f>
        <v/>
      </c>
    </row>
    <row r="528">
      <c r="A528" s="16">
        <f>IF(OR(A527="",A527&gt;=$B$18),"",MIN($B$18,(FLOOR(A527/$B$19+0.000000001,1)+1)*$B$19))</f>
        <v/>
      </c>
      <c r="B528" s="17">
        <f>IF(A528="","",IF(A528&lt;0,"-","")&amp;INT(ABS(A528)/1000)&amp;"+"&amp;TEXT(MOD(ABS(A528),1000),"000.000"))</f>
        <v/>
      </c>
      <c r="C528" s="16">
        <f>IF(A528="","",A528-$B$17)</f>
        <v/>
      </c>
      <c r="D528" s="16">
        <f>IF(A528="","",ROUND($B$15+$B$25*(A528-$B$17),9))</f>
        <v/>
      </c>
      <c r="E528" s="16">
        <f>IF(A528="","",ROUND(D528-$B$15,9))</f>
        <v/>
      </c>
    </row>
    <row r="529">
      <c r="A529" s="16">
        <f>IF(OR(A528="",A528&gt;=$B$18),"",MIN($B$18,(FLOOR(A528/$B$19+0.000000001,1)+1)*$B$19))</f>
        <v/>
      </c>
      <c r="B529" s="17">
        <f>IF(A529="","",IF(A529&lt;0,"-","")&amp;INT(ABS(A529)/1000)&amp;"+"&amp;TEXT(MOD(ABS(A529),1000),"000.000"))</f>
        <v/>
      </c>
      <c r="C529" s="16">
        <f>IF(A529="","",A529-$B$17)</f>
        <v/>
      </c>
      <c r="D529" s="16">
        <f>IF(A529="","",ROUND($B$15+$B$25*(A529-$B$17),9))</f>
        <v/>
      </c>
      <c r="E529" s="16">
        <f>IF(A529="","",ROUND(D529-$B$15,9))</f>
        <v/>
      </c>
    </row>
    <row r="530">
      <c r="A530" s="16">
        <f>IF(OR(A529="",A529&gt;=$B$18),"",MIN($B$18,(FLOOR(A529/$B$19+0.000000001,1)+1)*$B$19))</f>
        <v/>
      </c>
      <c r="B530" s="17">
        <f>IF(A530="","",IF(A530&lt;0,"-","")&amp;INT(ABS(A530)/1000)&amp;"+"&amp;TEXT(MOD(ABS(A530),1000),"000.000"))</f>
        <v/>
      </c>
      <c r="C530" s="16">
        <f>IF(A530="","",A530-$B$17)</f>
        <v/>
      </c>
      <c r="D530" s="16">
        <f>IF(A530="","",ROUND($B$15+$B$25*(A530-$B$17),9))</f>
        <v/>
      </c>
      <c r="E530" s="16">
        <f>IF(A530="","",ROUND(D530-$B$15,9))</f>
        <v/>
      </c>
    </row>
    <row r="531">
      <c r="A531" s="16">
        <f>IF(OR(A530="",A530&gt;=$B$18),"",MIN($B$18,(FLOOR(A530/$B$19+0.000000001,1)+1)*$B$19))</f>
        <v/>
      </c>
      <c r="B531" s="17">
        <f>IF(A531="","",IF(A531&lt;0,"-","")&amp;INT(ABS(A531)/1000)&amp;"+"&amp;TEXT(MOD(ABS(A531),1000),"000.000"))</f>
        <v/>
      </c>
      <c r="C531" s="16">
        <f>IF(A531="","",A531-$B$17)</f>
        <v/>
      </c>
      <c r="D531" s="16">
        <f>IF(A531="","",ROUND($B$15+$B$25*(A531-$B$17),9))</f>
        <v/>
      </c>
      <c r="E531" s="16">
        <f>IF(A531="","",ROUND(D531-$B$15,9))</f>
        <v/>
      </c>
    </row>
    <row r="532">
      <c r="A532" s="16">
        <f>IF(OR(A531="",A531&gt;=$B$18),"",MIN($B$18,(FLOOR(A531/$B$19+0.000000001,1)+1)*$B$19))</f>
        <v/>
      </c>
      <c r="B532" s="17">
        <f>IF(A532="","",IF(A532&lt;0,"-","")&amp;INT(ABS(A532)/1000)&amp;"+"&amp;TEXT(MOD(ABS(A532),1000),"000.000"))</f>
        <v/>
      </c>
      <c r="C532" s="16">
        <f>IF(A532="","",A532-$B$17)</f>
        <v/>
      </c>
      <c r="D532" s="16">
        <f>IF(A532="","",ROUND($B$15+$B$25*(A532-$B$17),9))</f>
        <v/>
      </c>
      <c r="E532" s="16">
        <f>IF(A532="","",ROUND(D532-$B$15,9))</f>
        <v/>
      </c>
    </row>
    <row r="533">
      <c r="A533" s="16">
        <f>IF(OR(A532="",A532&gt;=$B$18),"",MIN($B$18,(FLOOR(A532/$B$19+0.000000001,1)+1)*$B$19))</f>
        <v/>
      </c>
      <c r="B533" s="17">
        <f>IF(A533="","",IF(A533&lt;0,"-","")&amp;INT(ABS(A533)/1000)&amp;"+"&amp;TEXT(MOD(ABS(A533),1000),"000.000"))</f>
        <v/>
      </c>
      <c r="C533" s="16">
        <f>IF(A533="","",A533-$B$17)</f>
        <v/>
      </c>
      <c r="D533" s="16">
        <f>IF(A533="","",ROUND($B$15+$B$25*(A533-$B$17),9))</f>
        <v/>
      </c>
      <c r="E533" s="16">
        <f>IF(A533="","",ROUND(D533-$B$15,9))</f>
        <v/>
      </c>
    </row>
  </sheetData>
  <pageMargins left="0.7" right="0.7" top="0.75" bottom="0.75" header="0.3" footer="0.3"/>
</worksheet>
</file>